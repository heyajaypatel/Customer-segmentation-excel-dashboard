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F:\projects\Ms excel\"/>
    </mc:Choice>
  </mc:AlternateContent>
  <xr:revisionPtr revIDLastSave="0" documentId="13_ncr:1_{F8A640B4-9376-4C0C-BAEA-D3B79F1FAE93}" xr6:coauthVersionLast="47" xr6:coauthVersionMax="47" xr10:uidLastSave="{00000000-0000-0000-0000-000000000000}"/>
  <bookViews>
    <workbookView xWindow="-108" yWindow="-108" windowWidth="23256" windowHeight="12456" activeTab="3" xr2:uid="{540144EA-9BD1-40E8-924D-343367541B0E}"/>
  </bookViews>
  <sheets>
    <sheet name="Raw_Data" sheetId="1" r:id="rId1"/>
    <sheet name="Processing" sheetId="2" r:id="rId2"/>
    <sheet name="pivot tables" sheetId="4" state="hidden" r:id="rId3"/>
    <sheet name="Dashboard" sheetId="5" r:id="rId4"/>
  </sheets>
  <definedNames>
    <definedName name="Slicer_Region">#N/A</definedName>
    <definedName name="Slicer_Segmen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2" l="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D12" i="4"/>
  <c r="D4" i="4"/>
</calcChain>
</file>

<file path=xl/sharedStrings.xml><?xml version="1.0" encoding="utf-8"?>
<sst xmlns="http://schemas.openxmlformats.org/spreadsheetml/2006/main" count="427" uniqueCount="119">
  <si>
    <t>Customer ID</t>
  </si>
  <si>
    <t>Age</t>
  </si>
  <si>
    <t>Income</t>
  </si>
  <si>
    <t>Spending ($)</t>
  </si>
  <si>
    <t>Frequency</t>
  </si>
  <si>
    <t>Region</t>
  </si>
  <si>
    <t>C-01</t>
  </si>
  <si>
    <t>North</t>
  </si>
  <si>
    <t>C-02</t>
  </si>
  <si>
    <t>West</t>
  </si>
  <si>
    <t>C-03</t>
  </si>
  <si>
    <t>C-04</t>
  </si>
  <si>
    <t>East</t>
  </si>
  <si>
    <t>C-05</t>
  </si>
  <si>
    <t>South</t>
  </si>
  <si>
    <t>C-06</t>
  </si>
  <si>
    <t>C-07</t>
  </si>
  <si>
    <t>C-08</t>
  </si>
  <si>
    <t>C-09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</si>
  <si>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</si>
  <si>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</si>
  <si>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</si>
  <si>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</si>
  <si>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</si>
  <si>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</si>
  <si>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</si>
  <si>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</si>
  <si>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</si>
  <si>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</si>
  <si>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</si>
  <si>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</si>
  <si>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</si>
  <si>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</si>
  <si>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</si>
  <si>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</si>
  <si>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</si>
  <si>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</si>
  <si>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</si>
  <si>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</si>
  <si>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</si>
  <si>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</si>
  <si>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</si>
  <si>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</si>
  <si>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</si>
  <si>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</si>
  <si>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</si>
  <si>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</si>
  <si>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</si>
  <si>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</si>
  <si>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</si>
  <si>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</si>
  <si>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</si>
  <si>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</si>
  <si>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</si>
  <si>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</si>
  <si>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</si>
  <si>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</si>
  <si>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</si>
  <si>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</si>
  <si>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</si>
  <si>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</si>
  <si>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</si>
  <si>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</si>
  <si>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</si>
  <si>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</si>
  <si>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</si>
  <si>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</si>
  <si>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</si>
  <si>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</si>
  <si>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</si>
  <si>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</si>
  <si>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C-62</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</si>
  <si>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</si>
  <si>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</si>
  <si>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</si>
  <si>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</si>
  <si>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</si>
  <si>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</si>
  <si>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</si>
  <si>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</si>
  <si>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</si>
  <si>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</si>
  <si>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</si>
  <si>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</si>
  <si>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</si>
  <si>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</si>
  <si>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</si>
  <si>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</si>
  <si>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</si>
  <si>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</si>
  <si>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</si>
  <si>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</si>
  <si>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</si>
  <si>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</si>
  <si>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</si>
  <si>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</si>
  <si>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</si>
  <si>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</si>
  <si>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</si>
  <si>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</si>
  <si>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</si>
  <si>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</si>
  <si>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</si>
  <si>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</si>
  <si>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C-95</t>
  </si>
  <si>
    <t>C-96</t>
  </si>
  <si>
    <t>C-97</t>
  </si>
  <si>
    <t>C-98</t>
  </si>
  <si>
    <t>C-99</t>
  </si>
  <si>
    <t>C-100</t>
  </si>
  <si>
    <t>Segment</t>
  </si>
  <si>
    <t>Row Labels</t>
  </si>
  <si>
    <t>At Risk</t>
  </si>
  <si>
    <t>Champion</t>
  </si>
  <si>
    <t>Loyal</t>
  </si>
  <si>
    <t>Grand Total</t>
  </si>
  <si>
    <t>Count of Customer ID</t>
  </si>
  <si>
    <t>Sum of Spending ($)</t>
  </si>
  <si>
    <t>Market Research &amp; Customer Segmentation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</si>
</sst>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sz val="11"/>
      <color rgb="FF1F1F1F"/>
      <name val="Arial"/>
      <family val="2"/>
    </font>
    <font>
      <b/>
      <sz val="11"/>
      <color rgb="FF1F1F1F"/>
      <name val="Arial"/>
      <family val="2"/>
    </font>
    <font>
      <sz val="8"/>
      <name val="Calibri"/>
      <family val="2"/>
      <scheme val="minor"/>
    </font>
    <font>
      <b/>
      <sz val="36"/>
      <color theme="0" tint="-4.9989318521683403E-2"/>
      <name val="Calibri"/>
      <family val="2"/>
      <scheme val="minor"/>
    </font>
  </fonts>
  <fills count="4">
    <fill>
      <patternFill patternType="none"/>
    </fill>
    <fill>
      <patternFill patternType="gray125"/>
    </fill>
    <fill>
      <patternFill patternType="solid">
        <fgColor theme="1" tint="0.14999847407452621"/>
        <bgColor indexed="64"/>
      </patternFill>
    </fill>
    <fill>
      <patternFill patternType="solid">
        <fgColor theme="6" tint="-0.499984740745262"/>
        <bgColor indexed="64"/>
      </patternFill>
    </fill>
  </fills>
  <borders count="10">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0" fontId="3" fillId="0" borderId="1" xfId="0" applyFont="1" applyBorder="1" applyAlignment="1">
      <alignment horizontal="left" vertical="center" readingOrder="1"/>
    </xf>
    <xf numFmtId="0" fontId="3" fillId="0" borderId="1" xfId="0" applyFont="1" applyBorder="1" applyAlignment="1">
      <alignment vertical="center" readingOrder="1"/>
    </xf>
    <xf numFmtId="0" fontId="2" fillId="0" borderId="1" xfId="0" applyFont="1" applyBorder="1" applyAlignment="1">
      <alignment horizontal="left" vertical="center" readingOrder="1"/>
    </xf>
    <xf numFmtId="0" fontId="2" fillId="0" borderId="1" xfId="0" applyFont="1" applyBorder="1" applyAlignment="1">
      <alignment vertical="center" readingOrder="1"/>
    </xf>
    <xf numFmtId="0" fontId="2" fillId="0" borderId="1" xfId="1" applyNumberFormat="1" applyFont="1" applyBorder="1" applyAlignment="1">
      <alignment horizontal="left" vertical="center" readingOrder="1"/>
    </xf>
    <xf numFmtId="0" fontId="0" fillId="0" borderId="0" xfId="1" applyNumberFormat="1" applyFont="1"/>
    <xf numFmtId="1" fontId="2" fillId="0" borderId="1" xfId="1" applyNumberFormat="1" applyFont="1" applyBorder="1" applyAlignment="1">
      <alignment horizontal="left" vertical="center" readingOrder="1"/>
    </xf>
    <xf numFmtId="1" fontId="2" fillId="0" borderId="1" xfId="0" applyNumberFormat="1" applyFont="1" applyBorder="1" applyAlignment="1">
      <alignment horizontal="left" vertical="center" readingOrder="1"/>
    </xf>
    <xf numFmtId="0" fontId="2" fillId="0" borderId="2" xfId="0" applyFont="1" applyBorder="1" applyAlignment="1">
      <alignment horizontal="left" vertical="center" readingOrder="1"/>
    </xf>
    <xf numFmtId="0" fontId="2" fillId="0" borderId="3" xfId="0" applyFont="1" applyBorder="1" applyAlignment="1">
      <alignment vertical="center" readingOrder="1"/>
    </xf>
    <xf numFmtId="0" fontId="3" fillId="0" borderId="4" xfId="0" applyFont="1" applyBorder="1" applyAlignment="1">
      <alignment horizontal="left" vertical="center" readingOrder="1"/>
    </xf>
    <xf numFmtId="0" fontId="3" fillId="0" borderId="5" xfId="1" applyNumberFormat="1" applyFont="1" applyBorder="1" applyAlignment="1">
      <alignment horizontal="left" vertical="center" readingOrder="1"/>
    </xf>
    <xf numFmtId="0" fontId="3" fillId="0" borderId="5" xfId="0" applyFont="1" applyBorder="1" applyAlignment="1">
      <alignment horizontal="left" vertical="center" readingOrder="1"/>
    </xf>
    <xf numFmtId="0" fontId="3" fillId="0" borderId="6" xfId="0" applyFont="1" applyBorder="1" applyAlignment="1">
      <alignment vertical="center" readingOrder="1"/>
    </xf>
    <xf numFmtId="0" fontId="2" fillId="0" borderId="7" xfId="0" applyFont="1" applyBorder="1" applyAlignment="1">
      <alignment horizontal="left" vertical="center" readingOrder="1"/>
    </xf>
    <xf numFmtId="1" fontId="2" fillId="0" borderId="8" xfId="1" applyNumberFormat="1" applyFont="1" applyBorder="1" applyAlignment="1">
      <alignment horizontal="left" vertical="center" readingOrder="1"/>
    </xf>
    <xf numFmtId="1" fontId="2" fillId="0" borderId="8" xfId="0" applyNumberFormat="1" applyFont="1" applyBorder="1" applyAlignment="1">
      <alignment horizontal="left" vertical="center" readingOrder="1"/>
    </xf>
    <xf numFmtId="0" fontId="2" fillId="0" borderId="9" xfId="0" applyFont="1" applyBorder="1" applyAlignment="1">
      <alignment vertical="center" readingOrder="1"/>
    </xf>
    <xf numFmtId="1" fontId="2" fillId="0" borderId="5" xfId="0" applyNumberFormat="1" applyFont="1" applyBorder="1" applyAlignment="1">
      <alignment horizontal="left" vertical="center" readingOrder="1"/>
    </xf>
    <xf numFmtId="0" fontId="0" fillId="0" borderId="0" xfId="0" pivotButton="1"/>
    <xf numFmtId="0" fontId="0" fillId="0" borderId="0" xfId="0" applyAlignment="1">
      <alignment horizontal="left"/>
    </xf>
    <xf numFmtId="0" fontId="0" fillId="2" borderId="0" xfId="0" applyFill="1"/>
    <xf numFmtId="0" fontId="0" fillId="3" borderId="0" xfId="0" applyFill="1"/>
    <xf numFmtId="0" fontId="5" fillId="3" borderId="0" xfId="0" applyFont="1" applyFill="1" applyAlignment="1">
      <alignment horizontal="center" vertical="center"/>
    </xf>
  </cellXfs>
  <cellStyles count="2">
    <cellStyle name="Normal" xfId="0" builtinId="0"/>
    <cellStyle name="Percent" xfId="1" builtinId="5"/>
  </cellStyles>
  <dxfs count="12">
    <dxf>
      <font>
        <b val="0"/>
        <i val="0"/>
        <strike val="0"/>
        <condense val="0"/>
        <extend val="0"/>
        <outline val="0"/>
        <shadow val="0"/>
        <u val="none"/>
        <vertAlign val="baseline"/>
        <sz val="11"/>
        <color rgb="FF1F1F1F"/>
        <name val="Arial"/>
        <family val="2"/>
        <scheme val="none"/>
      </font>
      <numFmt numFmtId="1" formatCode="0"/>
      <alignment horizontal="left" vertical="center" textRotation="0" wrapText="0"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general" vertical="center" textRotation="0" wrapText="0" indent="0" justifyLastLine="0" shrinkToFit="0" readingOrder="1"/>
      <border diagonalUp="0" diagonalDown="0">
        <left style="medium">
          <color rgb="FF000000"/>
        </left>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numFmt numFmtId="1" formatCode="0"/>
      <alignment horizontal="left" vertical="center" textRotation="0" wrapText="0"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numFmt numFmtId="1" formatCode="0"/>
      <alignment horizontal="left" vertical="center" textRotation="0" wrapText="0"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numFmt numFmtId="1" formatCode="0"/>
      <alignment horizontal="left" vertical="center" textRotation="0" wrapText="0"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numFmt numFmtId="1" formatCode="0"/>
      <alignment horizontal="left" vertical="center" textRotation="0" wrapText="0"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0" indent="0" justifyLastLine="0" shrinkToFit="0" readingOrder="1"/>
      <border diagonalUp="0" diagonalDown="0">
        <left/>
        <right style="medium">
          <color rgb="FF000000"/>
        </right>
        <top style="medium">
          <color rgb="FF000000"/>
        </top>
        <bottom style="medium">
          <color rgb="FF000000"/>
        </bottom>
        <vertical/>
        <horizontal/>
      </border>
    </dxf>
    <dxf>
      <border outline="0">
        <top style="medium">
          <color rgb="FF000000"/>
        </top>
      </border>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1"/>
        <color rgb="FF1F1F1F"/>
        <name val="Arial"/>
        <family val="2"/>
        <scheme val="none"/>
      </font>
      <alignment horizontal="left" vertical="center" textRotation="0" wrapText="0" indent="0" justifyLastLine="0" shrinkToFit="0" readingOrder="1"/>
    </dxf>
    <dxf>
      <border outline="0">
        <bottom style="medium">
          <color rgb="FF000000"/>
        </bottom>
      </border>
    </dxf>
    <dxf>
      <font>
        <b/>
        <i val="0"/>
        <strike val="0"/>
        <condense val="0"/>
        <extend val="0"/>
        <outline val="0"/>
        <shadow val="0"/>
        <u val="none"/>
        <vertAlign val="baseline"/>
        <sz val="11"/>
        <color rgb="FF1F1F1F"/>
        <name val="Arial"/>
        <family val="2"/>
        <scheme val="none"/>
      </font>
      <alignment horizontal="left" vertical="center" textRotation="0" wrapText="0" indent="0" justifyLastLine="0" shrinkToFit="0" readingOrder="1"/>
      <border diagonalUp="0" diagonalDown="0" outline="0">
        <left style="medium">
          <color rgb="FF000000"/>
        </left>
        <right style="medium">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 Research &amp; Customer Segmentation.xlsx]pivot tables!PivotTable1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4C-49AE-96D1-2D9FE37A96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4C-49AE-96D1-2D9FE37A96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4C-49AE-96D1-2D9FE37A9600}"/>
              </c:ext>
            </c:extLst>
          </c:dPt>
          <c:cat>
            <c:strRef>
              <c:f>'pivot tables'!$A$4:$A$7</c:f>
              <c:strCache>
                <c:ptCount val="3"/>
                <c:pt idx="0">
                  <c:v>At Risk</c:v>
                </c:pt>
                <c:pt idx="1">
                  <c:v>Champion</c:v>
                </c:pt>
                <c:pt idx="2">
                  <c:v>Loyal</c:v>
                </c:pt>
              </c:strCache>
            </c:strRef>
          </c:cat>
          <c:val>
            <c:numRef>
              <c:f>'pivot tables'!$B$4:$B$7</c:f>
              <c:numCache>
                <c:formatCode>General</c:formatCode>
                <c:ptCount val="3"/>
                <c:pt idx="0">
                  <c:v>3</c:v>
                </c:pt>
                <c:pt idx="1">
                  <c:v>89</c:v>
                </c:pt>
                <c:pt idx="2">
                  <c:v>8</c:v>
                </c:pt>
              </c:numCache>
            </c:numRef>
          </c:val>
          <c:extLst>
            <c:ext xmlns:c16="http://schemas.microsoft.com/office/drawing/2014/chart" uri="{C3380CC4-5D6E-409C-BE32-E72D297353CC}">
              <c16:uniqueId val="{00000006-FB4C-49AE-96D1-2D9FE37A960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 Research &amp; Customer Segmentation.xlsx]pivot tables!PivotTable2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tables'!$A$10:$A$14</c:f>
              <c:strCache>
                <c:ptCount val="4"/>
                <c:pt idx="0">
                  <c:v>East</c:v>
                </c:pt>
                <c:pt idx="1">
                  <c:v>North</c:v>
                </c:pt>
                <c:pt idx="2">
                  <c:v>South</c:v>
                </c:pt>
                <c:pt idx="3">
                  <c:v>West</c:v>
                </c:pt>
              </c:strCache>
            </c:strRef>
          </c:cat>
          <c:val>
            <c:numRef>
              <c:f>'pivot tables'!$B$10:$B$14</c:f>
              <c:numCache>
                <c:formatCode>General</c:formatCode>
                <c:ptCount val="4"/>
                <c:pt idx="0">
                  <c:v>792190.0000000021</c:v>
                </c:pt>
                <c:pt idx="1">
                  <c:v>1555690.000000004</c:v>
                </c:pt>
                <c:pt idx="2">
                  <c:v>787890.00000000279</c:v>
                </c:pt>
                <c:pt idx="3">
                  <c:v>768730.00000000221</c:v>
                </c:pt>
              </c:numCache>
            </c:numRef>
          </c:val>
          <c:extLst>
            <c:ext xmlns:c16="http://schemas.microsoft.com/office/drawing/2014/chart" uri="{C3380CC4-5D6E-409C-BE32-E72D297353CC}">
              <c16:uniqueId val="{00000000-4F30-4FCF-9625-2896F1D17B5F}"/>
            </c:ext>
          </c:extLst>
        </c:ser>
        <c:dLbls>
          <c:showLegendKey val="0"/>
          <c:showVal val="0"/>
          <c:showCatName val="0"/>
          <c:showSerName val="0"/>
          <c:showPercent val="0"/>
          <c:showBubbleSize val="0"/>
        </c:dLbls>
        <c:gapWidth val="182"/>
        <c:axId val="572123583"/>
        <c:axId val="572121663"/>
      </c:barChart>
      <c:catAx>
        <c:axId val="572123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121663"/>
        <c:crosses val="autoZero"/>
        <c:auto val="1"/>
        <c:lblAlgn val="ctr"/>
        <c:lblOffset val="100"/>
        <c:noMultiLvlLbl val="0"/>
      </c:catAx>
      <c:valAx>
        <c:axId val="572121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12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53340</xdr:colOff>
      <xdr:row>18</xdr:row>
      <xdr:rowOff>121920</xdr:rowOff>
    </xdr:from>
    <xdr:to>
      <xdr:col>17</xdr:col>
      <xdr:colOff>297180</xdr:colOff>
      <xdr:row>25</xdr:row>
      <xdr:rowOff>175260</xdr:rowOff>
    </xdr:to>
    <xdr:sp macro="" textlink="'pivot tables'!D4">
      <xdr:nvSpPr>
        <xdr:cNvPr id="2" name="Rectangle 1">
          <a:extLst>
            <a:ext uri="{FF2B5EF4-FFF2-40B4-BE49-F238E27FC236}">
              <a16:creationId xmlns:a16="http://schemas.microsoft.com/office/drawing/2014/main" id="{ACD2982D-01DC-6CE2-2E03-44C53A24CF9E}"/>
            </a:ext>
          </a:extLst>
        </xdr:cNvPr>
        <xdr:cNvSpPr/>
      </xdr:nvSpPr>
      <xdr:spPr>
        <a:xfrm>
          <a:off x="6758940" y="3413760"/>
          <a:ext cx="3901440" cy="1333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E6723E0-7FAD-4F31-BA48-70AFF23CE14F}" type="TxLink">
            <a:rPr lang="en-US" sz="6600" b="0" i="0" u="none" strike="noStrike">
              <a:solidFill>
                <a:srgbClr val="000000"/>
              </a:solidFill>
              <a:latin typeface="Calibri"/>
              <a:ea typeface="Calibri"/>
              <a:cs typeface="Calibri"/>
            </a:rPr>
            <a:pPr algn="ctr"/>
            <a:t>100</a:t>
          </a:fld>
          <a:endParaRPr lang="en-IN" sz="6600"/>
        </a:p>
      </xdr:txBody>
    </xdr:sp>
    <xdr:clientData/>
  </xdr:twoCellAnchor>
  <xdr:twoCellAnchor>
    <xdr:from>
      <xdr:col>11</xdr:col>
      <xdr:colOff>68580</xdr:colOff>
      <xdr:row>8</xdr:row>
      <xdr:rowOff>144780</xdr:rowOff>
    </xdr:from>
    <xdr:to>
      <xdr:col>17</xdr:col>
      <xdr:colOff>312420</xdr:colOff>
      <xdr:row>15</xdr:row>
      <xdr:rowOff>76200</xdr:rowOff>
    </xdr:to>
    <xdr:sp macro="" textlink="'pivot tables'!D12">
      <xdr:nvSpPr>
        <xdr:cNvPr id="3" name="Rectangle 2">
          <a:extLst>
            <a:ext uri="{FF2B5EF4-FFF2-40B4-BE49-F238E27FC236}">
              <a16:creationId xmlns:a16="http://schemas.microsoft.com/office/drawing/2014/main" id="{5AACA41C-3EF1-9A9A-DB60-FDCD126965A2}"/>
            </a:ext>
          </a:extLst>
        </xdr:cNvPr>
        <xdr:cNvSpPr/>
      </xdr:nvSpPr>
      <xdr:spPr>
        <a:xfrm>
          <a:off x="6774180" y="1607820"/>
          <a:ext cx="3901440" cy="12115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EB660F2-DCDB-4957-8EEF-576B71FEB53E}" type="TxLink">
            <a:rPr lang="en-US" sz="6000" b="0" i="0" u="none" strike="noStrike">
              <a:solidFill>
                <a:srgbClr val="000000"/>
              </a:solidFill>
              <a:latin typeface="Calibri"/>
              <a:ea typeface="Calibri"/>
              <a:cs typeface="Calibri"/>
            </a:rPr>
            <a:pPr algn="ctr"/>
            <a:t>3904500</a:t>
          </a:fld>
          <a:endParaRPr lang="en-IN" sz="6000"/>
        </a:p>
      </xdr:txBody>
    </xdr:sp>
    <xdr:clientData/>
  </xdr:twoCellAnchor>
  <xdr:twoCellAnchor>
    <xdr:from>
      <xdr:col>1</xdr:col>
      <xdr:colOff>114300</xdr:colOff>
      <xdr:row>6</xdr:row>
      <xdr:rowOff>129540</xdr:rowOff>
    </xdr:from>
    <xdr:to>
      <xdr:col>7</xdr:col>
      <xdr:colOff>274320</xdr:colOff>
      <xdr:row>25</xdr:row>
      <xdr:rowOff>99060</xdr:rowOff>
    </xdr:to>
    <xdr:graphicFrame macro="">
      <xdr:nvGraphicFramePr>
        <xdr:cNvPr id="4" name="Chart 3">
          <a:extLst>
            <a:ext uri="{FF2B5EF4-FFF2-40B4-BE49-F238E27FC236}">
              <a16:creationId xmlns:a16="http://schemas.microsoft.com/office/drawing/2014/main" id="{BEB026E3-BC14-48E9-9100-55DA1013E9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480060</xdr:colOff>
      <xdr:row>15</xdr:row>
      <xdr:rowOff>160020</xdr:rowOff>
    </xdr:from>
    <xdr:to>
      <xdr:col>10</xdr:col>
      <xdr:colOff>548640</xdr:colOff>
      <xdr:row>25</xdr:row>
      <xdr:rowOff>76201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7E973748-38DD-475D-57FA-ED3546D817F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747260" y="2903220"/>
              <a:ext cx="1897380" cy="17449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487680</xdr:colOff>
      <xdr:row>6</xdr:row>
      <xdr:rowOff>121920</xdr:rowOff>
    </xdr:from>
    <xdr:to>
      <xdr:col>10</xdr:col>
      <xdr:colOff>525780</xdr:colOff>
      <xdr:row>15</xdr:row>
      <xdr:rowOff>91440</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34EE3FF8-1D59-D45E-7807-1692999C2D8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754880" y="1219200"/>
              <a:ext cx="1866900" cy="1615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457200</xdr:colOff>
      <xdr:row>5</xdr:row>
      <xdr:rowOff>114300</xdr:rowOff>
    </xdr:from>
    <xdr:to>
      <xdr:col>24</xdr:col>
      <xdr:colOff>53340</xdr:colOff>
      <xdr:row>25</xdr:row>
      <xdr:rowOff>167640</xdr:rowOff>
    </xdr:to>
    <xdr:graphicFrame macro="">
      <xdr:nvGraphicFramePr>
        <xdr:cNvPr id="8" name="Chart 7">
          <a:extLst>
            <a:ext uri="{FF2B5EF4-FFF2-40B4-BE49-F238E27FC236}">
              <a16:creationId xmlns:a16="http://schemas.microsoft.com/office/drawing/2014/main" id="{4EFB5B5C-9F70-4025-82B0-4BFCC0DDA6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160020</xdr:colOff>
      <xdr:row>5</xdr:row>
      <xdr:rowOff>167640</xdr:rowOff>
    </xdr:from>
    <xdr:to>
      <xdr:col>17</xdr:col>
      <xdr:colOff>167640</xdr:colOff>
      <xdr:row>8</xdr:row>
      <xdr:rowOff>45720</xdr:rowOff>
    </xdr:to>
    <xdr:sp macro="" textlink="">
      <xdr:nvSpPr>
        <xdr:cNvPr id="9" name="Rectangle 8">
          <a:extLst>
            <a:ext uri="{FF2B5EF4-FFF2-40B4-BE49-F238E27FC236}">
              <a16:creationId xmlns:a16="http://schemas.microsoft.com/office/drawing/2014/main" id="{6FDC9AFD-A543-A9BF-3715-D5F9DD620668}"/>
            </a:ext>
          </a:extLst>
        </xdr:cNvPr>
        <xdr:cNvSpPr/>
      </xdr:nvSpPr>
      <xdr:spPr>
        <a:xfrm>
          <a:off x="6865620" y="1082040"/>
          <a:ext cx="3665220" cy="426720"/>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solidFill>
            </a:rPr>
            <a:t>Total Spending</a:t>
          </a:r>
        </a:p>
        <a:p>
          <a:pPr algn="ctr"/>
          <a:endParaRPr lang="en-IN" sz="2000" b="1">
            <a:solidFill>
              <a:schemeClr val="tx1"/>
            </a:solidFill>
          </a:endParaRPr>
        </a:p>
      </xdr:txBody>
    </xdr:sp>
    <xdr:clientData/>
  </xdr:twoCellAnchor>
  <xdr:twoCellAnchor>
    <xdr:from>
      <xdr:col>11</xdr:col>
      <xdr:colOff>167640</xdr:colOff>
      <xdr:row>16</xdr:row>
      <xdr:rowOff>0</xdr:rowOff>
    </xdr:from>
    <xdr:to>
      <xdr:col>17</xdr:col>
      <xdr:colOff>175260</xdr:colOff>
      <xdr:row>18</xdr:row>
      <xdr:rowOff>60960</xdr:rowOff>
    </xdr:to>
    <xdr:sp macro="" textlink="">
      <xdr:nvSpPr>
        <xdr:cNvPr id="10" name="Rectangle 9">
          <a:extLst>
            <a:ext uri="{FF2B5EF4-FFF2-40B4-BE49-F238E27FC236}">
              <a16:creationId xmlns:a16="http://schemas.microsoft.com/office/drawing/2014/main" id="{A7FD4894-E86A-495E-A00B-280853F8C9FE}"/>
            </a:ext>
          </a:extLst>
        </xdr:cNvPr>
        <xdr:cNvSpPr/>
      </xdr:nvSpPr>
      <xdr:spPr>
        <a:xfrm>
          <a:off x="6873240" y="2926080"/>
          <a:ext cx="3665220" cy="426720"/>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Customers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refreshedDate="46124.694759953702" createdVersion="8" refreshedVersion="8" minRefreshableVersion="3" recordCount="100" xr:uid="{07FB3D85-6813-448D-B25A-7B2395667E49}">
  <cacheSource type="worksheet">
    <worksheetSource name="Table1"/>
  </cacheSource>
  <cacheFields count="7">
    <cacheField name="Customer ID" numFmtId="0">
      <sharedItems/>
    </cacheField>
    <cacheField name="Age" numFmtId="0">
      <sharedItems containsSemiMixedTypes="0" containsString="0" containsNumber="1" minValue="21" maxValue="74.563636363636405"/>
    </cacheField>
    <cacheField name="Income" numFmtId="0">
      <sharedItems containsSemiMixedTypes="0" containsString="0" containsNumber="1" minValue="15000" maxValue="191636.363636364"/>
    </cacheField>
    <cacheField name="Spending ($)" numFmtId="0">
      <sharedItems containsSemiMixedTypes="0" containsString="0" containsNumber="1" minValue="50" maxValue="77490.000000000306"/>
    </cacheField>
    <cacheField name="Frequency" numFmtId="0">
      <sharedItems containsSemiMixedTypes="0" containsString="0" containsNumber="1" minValue="1" maxValue="98.854545454543697"/>
    </cacheField>
    <cacheField name="Region" numFmtId="0">
      <sharedItems count="4">
        <s v="North"/>
        <s v="West"/>
        <s v="East"/>
        <s v="South"/>
      </sharedItems>
    </cacheField>
    <cacheField name="Segment" numFmtId="1">
      <sharedItems count="3">
        <s v="Loyal"/>
        <s v="At Risk"/>
        <s v="Champion"/>
      </sharedItems>
    </cacheField>
  </cacheFields>
  <extLst>
    <ext xmlns:x14="http://schemas.microsoft.com/office/spreadsheetml/2009/9/main" uri="{725AE2AE-9491-48be-B2B4-4EB974FC3084}">
      <x14:pivotCacheDefinition pivotCacheId="18004654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01"/>
    <n v="22"/>
    <n v="45000"/>
    <n v="1200"/>
    <n v="15"/>
    <x v="0"/>
    <x v="0"/>
  </r>
  <r>
    <s v="C-02"/>
    <n v="34"/>
    <n v="85000"/>
    <n v="500"/>
    <n v="2"/>
    <x v="1"/>
    <x v="1"/>
  </r>
  <r>
    <s v="C-03"/>
    <n v="29"/>
    <n v="120000"/>
    <n v="8000"/>
    <n v="22"/>
    <x v="0"/>
    <x v="2"/>
  </r>
  <r>
    <s v="C-04"/>
    <n v="45"/>
    <n v="60000"/>
    <n v="2500"/>
    <n v="8"/>
    <x v="2"/>
    <x v="0"/>
  </r>
  <r>
    <s v="C-05"/>
    <n v="52"/>
    <n v="30000"/>
    <n v="100"/>
    <n v="1"/>
    <x v="3"/>
    <x v="1"/>
  </r>
  <r>
    <s v="C-06"/>
    <n v="21"/>
    <n v="15000"/>
    <n v="50"/>
    <n v="1"/>
    <x v="0"/>
    <x v="1"/>
  </r>
  <r>
    <s v="C-07"/>
    <n v="38"/>
    <n v="95000"/>
    <n v="9500"/>
    <n v="25"/>
    <x v="1"/>
    <x v="2"/>
  </r>
  <r>
    <s v="C-08"/>
    <n v="31"/>
    <n v="70000"/>
    <n v="1100"/>
    <n v="4"/>
    <x v="3"/>
    <x v="0"/>
  </r>
  <r>
    <s v="C-09"/>
    <n v="27"/>
    <n v="55000"/>
    <n v="3000"/>
    <n v="10"/>
    <x v="2"/>
    <x v="0"/>
  </r>
  <r>
    <s v="C-10"/>
    <n v="40"/>
    <n v="110000"/>
    <n v="15000"/>
    <n v="30"/>
    <x v="0"/>
    <x v="2"/>
  </r>
  <r>
    <s v="C-11"/>
    <n v="36.266666666666701"/>
    <n v="75666.666666666599"/>
    <n v="8366.6666666666697"/>
    <n v="16.866666666666699"/>
    <x v="0"/>
    <x v="0"/>
  </r>
  <r>
    <s v="C-12"/>
    <n v="36.696969696969703"/>
    <n v="76969.696969696903"/>
    <n v="9143.3333333333394"/>
    <n v="17.7878787878788"/>
    <x v="1"/>
    <x v="0"/>
  </r>
  <r>
    <s v="C-13"/>
    <n v="37.127272727272697"/>
    <n v="78272.727272727207"/>
    <n v="9920"/>
    <n v="18.709090909091"/>
    <x v="0"/>
    <x v="0"/>
  </r>
  <r>
    <s v="C-14"/>
    <n v="37.557575757575698"/>
    <n v="79575.757575757496"/>
    <n v="10696.666666666701"/>
    <n v="19.6303030303031"/>
    <x v="2"/>
    <x v="0"/>
  </r>
  <r>
    <s v="C-15"/>
    <n v="37.987878787878799"/>
    <n v="80878.7878787878"/>
    <n v="11473.333333333299"/>
    <n v="20.551515151515201"/>
    <x v="3"/>
    <x v="2"/>
  </r>
  <r>
    <s v="C-16"/>
    <n v="38.4181818181818"/>
    <n v="82181.818181818104"/>
    <n v="12250"/>
    <n v="21.472727272727301"/>
    <x v="0"/>
    <x v="2"/>
  </r>
  <r>
    <s v="C-17"/>
    <n v="38.848484848484802"/>
    <n v="83484.848484848393"/>
    <n v="13026.666666666701"/>
    <n v="22.393939393939402"/>
    <x v="1"/>
    <x v="2"/>
  </r>
  <r>
    <s v="C-18"/>
    <n v="39.278787878787902"/>
    <n v="84787.878787878799"/>
    <n v="13803.333333333299"/>
    <n v="23.315151515151602"/>
    <x v="3"/>
    <x v="2"/>
  </r>
  <r>
    <s v="C-19"/>
    <n v="39.709090909090897"/>
    <n v="86090.909090909103"/>
    <n v="14580"/>
    <n v="24.236363636363699"/>
    <x v="2"/>
    <x v="2"/>
  </r>
  <r>
    <s v="C-20"/>
    <n v="40.139393939393898"/>
    <n v="87393.939393939407"/>
    <n v="15356.666666666701"/>
    <n v="25.157575757575799"/>
    <x v="0"/>
    <x v="2"/>
  </r>
  <r>
    <s v="C-21"/>
    <n v="40.569696969696999"/>
    <n v="88696.969696969696"/>
    <n v="16133.333333333299"/>
    <n v="26.0787878787879"/>
    <x v="0"/>
    <x v="2"/>
  </r>
  <r>
    <s v="C-22"/>
    <n v="41"/>
    <n v="90000"/>
    <n v="16910"/>
    <n v="27"/>
    <x v="1"/>
    <x v="2"/>
  </r>
  <r>
    <s v="C-23"/>
    <n v="41.430303030303001"/>
    <n v="91303.030303030304"/>
    <n v="17686.666666666701"/>
    <n v="27.9212121212122"/>
    <x v="0"/>
    <x v="2"/>
  </r>
  <r>
    <s v="C-24"/>
    <n v="41.860606060606102"/>
    <n v="92606.060606060593"/>
    <n v="18463.333333333299"/>
    <n v="28.8424242424243"/>
    <x v="2"/>
    <x v="2"/>
  </r>
  <r>
    <s v="C-25"/>
    <n v="42.290909090909103"/>
    <n v="93909.090909090897"/>
    <n v="19240"/>
    <n v="29.763636363636401"/>
    <x v="3"/>
    <x v="2"/>
  </r>
  <r>
    <s v="C-26"/>
    <n v="42.721212121212197"/>
    <n v="95212.121212121201"/>
    <n v="20016.666666666701"/>
    <n v="30.684848484848501"/>
    <x v="0"/>
    <x v="2"/>
  </r>
  <r>
    <s v="C-27"/>
    <n v="43.151515151515198"/>
    <n v="96515.151515151505"/>
    <n v="20793.333333333299"/>
    <n v="31.606060606060701"/>
    <x v="1"/>
    <x v="2"/>
  </r>
  <r>
    <s v="C-28"/>
    <n v="43.5818181818182"/>
    <n v="97818.181818181794"/>
    <n v="21570"/>
    <n v="32.527272727272802"/>
    <x v="3"/>
    <x v="2"/>
  </r>
  <r>
    <s v="C-29"/>
    <n v="44.012121212121201"/>
    <n v="99121.212121212098"/>
    <n v="22346.666666666701"/>
    <n v="33.448484848484902"/>
    <x v="2"/>
    <x v="2"/>
  </r>
  <r>
    <s v="C-30"/>
    <n v="44.442424242424302"/>
    <n v="100424.24242424199"/>
    <n v="23123.333333333299"/>
    <n v="34.369696969697003"/>
    <x v="0"/>
    <x v="2"/>
  </r>
  <r>
    <s v="C-31"/>
    <n v="44.872727272727303"/>
    <n v="101727.272727273"/>
    <n v="23900"/>
    <n v="35.290909090909103"/>
    <x v="0"/>
    <x v="2"/>
  </r>
  <r>
    <s v="C-32"/>
    <n v="45.303030303030297"/>
    <n v="103030.303030303"/>
    <n v="24676.666666666701"/>
    <n v="36.212121212121303"/>
    <x v="1"/>
    <x v="2"/>
  </r>
  <r>
    <s v="C-33"/>
    <n v="45.733333333333398"/>
    <n v="104333.33333333299"/>
    <n v="25453.333333333299"/>
    <n v="37.133333333333397"/>
    <x v="0"/>
    <x v="2"/>
  </r>
  <r>
    <s v="C-34"/>
    <n v="46.1636363636364"/>
    <n v="105636.363636364"/>
    <n v="26230"/>
    <n v="38.054545454545497"/>
    <x v="2"/>
    <x v="2"/>
  </r>
  <r>
    <s v="C-35"/>
    <n v="46.593939393939401"/>
    <n v="106939.39393939399"/>
    <n v="27006.666666666701"/>
    <n v="38.975757575757598"/>
    <x v="3"/>
    <x v="2"/>
  </r>
  <r>
    <s v="C-36"/>
    <n v="47.024242424242502"/>
    <n v="108242.42424242399"/>
    <n v="27783.333333333299"/>
    <n v="39.896969696969698"/>
    <x v="0"/>
    <x v="2"/>
  </r>
  <r>
    <s v="C-37"/>
    <n v="47.454545454545503"/>
    <n v="109545.454545455"/>
    <n v="28560"/>
    <n v="40.818181818181898"/>
    <x v="1"/>
    <x v="2"/>
  </r>
  <r>
    <s v="C-38"/>
    <n v="47.884848484848497"/>
    <n v="110848.48484848499"/>
    <n v="29336.666666666701"/>
    <n v="41.739393939393999"/>
    <x v="3"/>
    <x v="2"/>
  </r>
  <r>
    <s v="C-39"/>
    <n v="48.315151515151598"/>
    <n v="112151.51515151501"/>
    <n v="30113.333333333299"/>
    <n v="42.660606060606099"/>
    <x v="2"/>
    <x v="2"/>
  </r>
  <r>
    <s v="C-40"/>
    <n v="48.745454545454599"/>
    <n v="113454.545454545"/>
    <n v="30890"/>
    <n v="43.5818181818182"/>
    <x v="0"/>
    <x v="2"/>
  </r>
  <r>
    <s v="C-41"/>
    <n v="49.175757575757601"/>
    <n v="114757.57575757601"/>
    <n v="31666.666666666701"/>
    <n v="44.5030303030304"/>
    <x v="0"/>
    <x v="2"/>
  </r>
  <r>
    <s v="C-42"/>
    <n v="49.606060606060602"/>
    <n v="116060.60606060601"/>
    <n v="32443.333333333299"/>
    <n v="45.4242424242425"/>
    <x v="1"/>
    <x v="2"/>
  </r>
  <r>
    <s v="C-43"/>
    <n v="50.036363636363703"/>
    <n v="117363.636363636"/>
    <n v="33220"/>
    <n v="46.345454545454601"/>
    <x v="0"/>
    <x v="2"/>
  </r>
  <r>
    <s v="C-44"/>
    <n v="50.466666666666697"/>
    <n v="118666.66666666701"/>
    <n v="33996.666666666701"/>
    <n v="47.266666666666701"/>
    <x v="2"/>
    <x v="2"/>
  </r>
  <r>
    <s v="C-45"/>
    <n v="50.896969696969698"/>
    <n v="119969.696969697"/>
    <n v="34773.333333333299"/>
    <n v="48.187878787878802"/>
    <x v="3"/>
    <x v="2"/>
  </r>
  <r>
    <s v="C-46"/>
    <n v="51.327272727272799"/>
    <n v="121272.727272727"/>
    <n v="35550"/>
    <n v="49.109090909091002"/>
    <x v="0"/>
    <x v="2"/>
  </r>
  <r>
    <s v="C-47"/>
    <n v="51.7575757575758"/>
    <n v="122575.75757575801"/>
    <n v="36326.666666666701"/>
    <n v="50.030303030303102"/>
    <x v="1"/>
    <x v="2"/>
  </r>
  <r>
    <s v="C-48"/>
    <n v="52.187878787878802"/>
    <n v="123878.787878788"/>
    <n v="37103.333333333401"/>
    <n v="50.951515151515203"/>
    <x v="3"/>
    <x v="2"/>
  </r>
  <r>
    <s v="C-49"/>
    <n v="52.618181818181903"/>
    <n v="125181.818181818"/>
    <n v="37880"/>
    <n v="51.872727272727303"/>
    <x v="2"/>
    <x v="2"/>
  </r>
  <r>
    <s v="C-50"/>
    <n v="53.048484848484897"/>
    <n v="126484.848484848"/>
    <n v="38656.666666666701"/>
    <n v="52.793939393939397"/>
    <x v="0"/>
    <x v="2"/>
  </r>
  <r>
    <s v="C-51"/>
    <n v="53.478787878787898"/>
    <n v="127787.878787879"/>
    <n v="39433.333333333401"/>
    <n v="53.715151515151597"/>
    <x v="0"/>
    <x v="2"/>
  </r>
  <r>
    <s v="C-52"/>
    <n v="53.909090909090899"/>
    <n v="129090.909090909"/>
    <n v="40210"/>
    <n v="54.636363636363697"/>
    <x v="1"/>
    <x v="2"/>
  </r>
  <r>
    <s v="C-53"/>
    <n v="54.339393939394"/>
    <n v="130393.939393939"/>
    <n v="40986.666666666701"/>
    <n v="55.557575757575798"/>
    <x v="0"/>
    <x v="2"/>
  </r>
  <r>
    <s v="C-54"/>
    <n v="54.769696969697002"/>
    <n v="131696.96969696999"/>
    <n v="41763.333333333503"/>
    <n v="56.478787878787003"/>
    <x v="2"/>
    <x v="2"/>
  </r>
  <r>
    <s v="C-55"/>
    <n v="55.2"/>
    <n v="133000"/>
    <n v="42540.000000000196"/>
    <n v="57.399999999999103"/>
    <x v="3"/>
    <x v="2"/>
  </r>
  <r>
    <s v="C-56"/>
    <n v="55.630303030303097"/>
    <n v="134303.03030303001"/>
    <n v="43316.666666666802"/>
    <n v="58.321212121211197"/>
    <x v="0"/>
    <x v="2"/>
  </r>
  <r>
    <s v="C-57"/>
    <n v="56.060606060606098"/>
    <n v="135606.06060606099"/>
    <n v="44093.333333333503"/>
    <n v="59.242424242423297"/>
    <x v="1"/>
    <x v="2"/>
  </r>
  <r>
    <s v="C-58"/>
    <n v="56.490909090909099"/>
    <n v="136909.090909091"/>
    <n v="44870.000000000196"/>
    <n v="60.163636363635398"/>
    <x v="3"/>
    <x v="2"/>
  </r>
  <r>
    <s v="C-59"/>
    <n v="56.9212121212122"/>
    <n v="138212.12121212101"/>
    <n v="45646.666666666802"/>
    <n v="61.084848484847498"/>
    <x v="2"/>
    <x v="2"/>
  </r>
  <r>
    <s v="C-60"/>
    <n v="57.351515151515201"/>
    <n v="139515.151515151"/>
    <n v="46423.333333333503"/>
    <n v="62.006060606059599"/>
    <x v="0"/>
    <x v="2"/>
  </r>
  <r>
    <s v="C-61"/>
    <n v="57.781818181818203"/>
    <n v="140818.181818182"/>
    <n v="47200.000000000196"/>
    <n v="62.927272727271699"/>
    <x v="0"/>
    <x v="2"/>
  </r>
  <r>
    <s v="C-62"/>
    <n v="58.212121212121197"/>
    <n v="142121.21212121201"/>
    <n v="47976.666666666897"/>
    <n v="63.8484848484838"/>
    <x v="1"/>
    <x v="2"/>
  </r>
  <r>
    <s v="C-63"/>
    <n v="58.642424242424298"/>
    <n v="143424.24242424199"/>
    <n v="48753.333333333503"/>
    <n v="64.7696969696959"/>
    <x v="0"/>
    <x v="2"/>
  </r>
  <r>
    <s v="C-64"/>
    <n v="59.072727272727299"/>
    <n v="144727.272727273"/>
    <n v="49530.000000000196"/>
    <n v="65.690909090907994"/>
    <x v="2"/>
    <x v="2"/>
  </r>
  <r>
    <s v="C-65"/>
    <n v="59.5030303030303"/>
    <n v="146030.30303030301"/>
    <n v="50306.666666666897"/>
    <n v="66.612121212120101"/>
    <x v="3"/>
    <x v="2"/>
  </r>
  <r>
    <s v="C-66"/>
    <n v="59.933333333333401"/>
    <n v="147333.33333333299"/>
    <n v="51083.333333333503"/>
    <n v="67.533333333332195"/>
    <x v="0"/>
    <x v="2"/>
  </r>
  <r>
    <s v="C-67"/>
    <n v="60.363636363636402"/>
    <n v="148636.363636364"/>
    <n v="51860.000000000196"/>
    <n v="68.454545454544302"/>
    <x v="1"/>
    <x v="2"/>
  </r>
  <r>
    <s v="C-68"/>
    <n v="60.793939393939397"/>
    <n v="149939.39393939401"/>
    <n v="52636.666666666897"/>
    <n v="69.375757575756396"/>
    <x v="3"/>
    <x v="2"/>
  </r>
  <r>
    <s v="C-69"/>
    <n v="61.224242424242497"/>
    <n v="151242.42424242399"/>
    <n v="53413.333333333503"/>
    <n v="70.296969696968503"/>
    <x v="2"/>
    <x v="2"/>
  </r>
  <r>
    <s v="C-70"/>
    <n v="61.654545454545499"/>
    <n v="152545.454545455"/>
    <n v="54190.000000000196"/>
    <n v="71.218181818180597"/>
    <x v="0"/>
    <x v="2"/>
  </r>
  <r>
    <s v="C-71"/>
    <n v="62.0848484848485"/>
    <n v="153848.48484848501"/>
    <n v="54966.666666666897"/>
    <n v="72.139393939392704"/>
    <x v="0"/>
    <x v="2"/>
  </r>
  <r>
    <s v="C-72"/>
    <n v="62.515151515151601"/>
    <n v="155151.51515151499"/>
    <n v="55743.333333333598"/>
    <n v="73.060606060604798"/>
    <x v="1"/>
    <x v="2"/>
  </r>
  <r>
    <s v="C-73"/>
    <n v="62.945454545454602"/>
    <n v="156454.545454545"/>
    <n v="56520.000000000196"/>
    <n v="73.981818181816905"/>
    <x v="0"/>
    <x v="2"/>
  </r>
  <r>
    <s v="C-74"/>
    <n v="63.375757575757603"/>
    <n v="157757.57575757601"/>
    <n v="57296.666666666897"/>
    <n v="74.903030303028999"/>
    <x v="2"/>
    <x v="2"/>
  </r>
  <r>
    <s v="C-75"/>
    <n v="63.806060606060598"/>
    <n v="159060.60606060599"/>
    <n v="58073.333333333598"/>
    <n v="75.824242424241106"/>
    <x v="3"/>
    <x v="2"/>
  </r>
  <r>
    <s v="C-76"/>
    <n v="64.236363636363706"/>
    <n v="160363.636363636"/>
    <n v="58850.000000000196"/>
    <n v="76.7454545454532"/>
    <x v="0"/>
    <x v="2"/>
  </r>
  <r>
    <s v="C-77"/>
    <n v="64.6666666666667"/>
    <n v="161666.66666666701"/>
    <n v="59626.666666666897"/>
    <n v="77.666666666665293"/>
    <x v="1"/>
    <x v="2"/>
  </r>
  <r>
    <s v="C-78"/>
    <n v="65.096969696969694"/>
    <n v="162969.69696969699"/>
    <n v="60403.333333333598"/>
    <n v="78.587878787877401"/>
    <x v="3"/>
    <x v="2"/>
  </r>
  <r>
    <s v="C-79"/>
    <n v="65.527272727272802"/>
    <n v="164272.727272727"/>
    <n v="61180.000000000196"/>
    <n v="79.509090909089494"/>
    <x v="2"/>
    <x v="2"/>
  </r>
  <r>
    <s v="C-80"/>
    <n v="65.957575757575796"/>
    <n v="165575.75757575801"/>
    <n v="61956.666666666897"/>
    <n v="80.430303030301602"/>
    <x v="0"/>
    <x v="2"/>
  </r>
  <r>
    <s v="C-81"/>
    <n v="66.387878787878805"/>
    <n v="166878.78787878799"/>
    <n v="62733.333333333598"/>
    <n v="81.351515151513695"/>
    <x v="0"/>
    <x v="2"/>
  </r>
  <r>
    <s v="C-82"/>
    <n v="66.818181818181898"/>
    <n v="168181.818181818"/>
    <n v="63510.000000000196"/>
    <n v="82.272727272725803"/>
    <x v="1"/>
    <x v="2"/>
  </r>
  <r>
    <s v="C-83"/>
    <n v="67.248484848484907"/>
    <n v="169484.848484849"/>
    <n v="64286.666666666897"/>
    <n v="83.193939393937896"/>
    <x v="0"/>
    <x v="2"/>
  </r>
  <r>
    <s v="C-84"/>
    <n v="67.678787878787901"/>
    <n v="170787.87878787899"/>
    <n v="65063.333333333598"/>
    <n v="84.115151515150004"/>
    <x v="2"/>
    <x v="2"/>
  </r>
  <r>
    <s v="C-85"/>
    <n v="68.109090909090895"/>
    <n v="172090.909090909"/>
    <n v="65840.000000000306"/>
    <n v="85.036363636362097"/>
    <x v="3"/>
    <x v="2"/>
  </r>
  <r>
    <s v="C-86"/>
    <n v="68.539393939394003"/>
    <n v="173393.93939393901"/>
    <n v="66616.666666666904"/>
    <n v="85.957575757574205"/>
    <x v="0"/>
    <x v="2"/>
  </r>
  <r>
    <s v="C-87"/>
    <n v="68.969696969696997"/>
    <n v="174696.96969696999"/>
    <n v="67393.333333333605"/>
    <n v="86.878787878786298"/>
    <x v="1"/>
    <x v="2"/>
  </r>
  <r>
    <s v="C-88"/>
    <n v="69.400000000000006"/>
    <n v="176000"/>
    <n v="68170.000000000306"/>
    <n v="87.799999999998406"/>
    <x v="3"/>
    <x v="2"/>
  </r>
  <r>
    <s v="C-89"/>
    <n v="69.830303030303099"/>
    <n v="177303.030303031"/>
    <n v="68946.666666666904"/>
    <n v="88.721212121210499"/>
    <x v="2"/>
    <x v="2"/>
  </r>
  <r>
    <s v="C-90"/>
    <n v="70.260606060606094"/>
    <n v="178606.06060606099"/>
    <n v="69723.333333333605"/>
    <n v="89.642424242422607"/>
    <x v="0"/>
    <x v="2"/>
  </r>
  <r>
    <s v="C-91"/>
    <n v="70.690909090909102"/>
    <n v="179909.090909091"/>
    <n v="70500.000000000306"/>
    <n v="90.5636363636347"/>
    <x v="0"/>
    <x v="2"/>
  </r>
  <r>
    <s v="C-92"/>
    <n v="71.121212121212196"/>
    <n v="181212.121212122"/>
    <n v="71276.666666666904"/>
    <n v="91.484848484846793"/>
    <x v="1"/>
    <x v="2"/>
  </r>
  <r>
    <s v="C-93"/>
    <n v="71.551515151515204"/>
    <n v="182515.15151515201"/>
    <n v="72053.333333333605"/>
    <n v="92.406060606058901"/>
    <x v="0"/>
    <x v="2"/>
  </r>
  <r>
    <s v="C-94"/>
    <n v="71.981818181818198"/>
    <n v="183818.181818182"/>
    <n v="72830.000000000306"/>
    <n v="93.327272727270994"/>
    <x v="2"/>
    <x v="2"/>
  </r>
  <r>
    <s v="C-95"/>
    <n v="72.412121212121207"/>
    <n v="185121.212121213"/>
    <n v="73606.666666667006"/>
    <n v="94.248484848483102"/>
    <x v="3"/>
    <x v="2"/>
  </r>
  <r>
    <s v="C-96"/>
    <n v="72.8424242424243"/>
    <n v="186424.24242424301"/>
    <n v="74383.333333333605"/>
    <n v="95.169696969695195"/>
    <x v="0"/>
    <x v="2"/>
  </r>
  <r>
    <s v="C-97"/>
    <n v="73.272727272727295"/>
    <n v="187727.272727273"/>
    <n v="75160.000000000306"/>
    <n v="96.090909090907303"/>
    <x v="1"/>
    <x v="2"/>
  </r>
  <r>
    <s v="C-98"/>
    <n v="73.703030303030303"/>
    <n v="189030.30303030301"/>
    <n v="75936.666666667006"/>
    <n v="97.012121212119396"/>
    <x v="3"/>
    <x v="2"/>
  </r>
  <r>
    <s v="C-99"/>
    <n v="74.133333333333397"/>
    <n v="190333.33333333401"/>
    <n v="76713.333333333605"/>
    <n v="97.933333333331504"/>
    <x v="2"/>
    <x v="2"/>
  </r>
  <r>
    <s v="C-100"/>
    <n v="74.563636363636405"/>
    <n v="191636.363636364"/>
    <n v="77490.000000000306"/>
    <n v="98.854545454543697"/>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FBD1A0-03D8-4718-9C6C-CECC417326A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B14" firstHeaderRow="1" firstDataRow="1" firstDataCol="1"/>
  <pivotFields count="7">
    <pivotField showAll="0"/>
    <pivotField showAll="0"/>
    <pivotField showAll="0"/>
    <pivotField dataField="1" showAll="0"/>
    <pivotField showAll="0"/>
    <pivotField axis="axisRow" showAll="0">
      <items count="5">
        <item x="2"/>
        <item x="0"/>
        <item x="3"/>
        <item x="1"/>
        <item t="default"/>
      </items>
    </pivotField>
    <pivotField showAll="0">
      <items count="4">
        <item x="1"/>
        <item x="2"/>
        <item x="0"/>
        <item t="default"/>
      </items>
    </pivotField>
  </pivotFields>
  <rowFields count="1">
    <field x="5"/>
  </rowFields>
  <rowItems count="5">
    <i>
      <x/>
    </i>
    <i>
      <x v="1"/>
    </i>
    <i>
      <x v="2"/>
    </i>
    <i>
      <x v="3"/>
    </i>
    <i t="grand">
      <x/>
    </i>
  </rowItems>
  <colItems count="1">
    <i/>
  </colItems>
  <dataFields count="1">
    <dataField name="Sum of Spending ($)" fld="3" baseField="0" baseItem="0"/>
  </dataFields>
  <chartFormats count="3">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A7A6F6-7FF4-4D1E-919E-8A9FDB7AF80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7">
    <pivotField dataField="1" showAll="0"/>
    <pivotField showAll="0"/>
    <pivotField showAll="0"/>
    <pivotField showAll="0"/>
    <pivotField showAll="0"/>
    <pivotField showAll="0">
      <items count="5">
        <item x="2"/>
        <item x="0"/>
        <item x="3"/>
        <item x="1"/>
        <item t="default"/>
      </items>
    </pivotField>
    <pivotField axis="axisRow" showAll="0">
      <items count="4">
        <item x="1"/>
        <item x="2"/>
        <item x="0"/>
        <item t="default"/>
      </items>
    </pivotField>
  </pivotFields>
  <rowFields count="1">
    <field x="6"/>
  </rowFields>
  <rowItems count="4">
    <i>
      <x/>
    </i>
    <i>
      <x v="1"/>
    </i>
    <i>
      <x v="2"/>
    </i>
    <i t="grand">
      <x/>
    </i>
  </rowItems>
  <colItems count="1">
    <i/>
  </colItems>
  <dataFields count="1">
    <dataField name="Count of Customer ID" fld="0"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0"/>
          </reference>
        </references>
      </pivotArea>
    </chartFormat>
    <chartFormat chart="3" format="7">
      <pivotArea type="data" outline="0" fieldPosition="0">
        <references count="2">
          <reference field="4294967294" count="1" selected="0">
            <x v="0"/>
          </reference>
          <reference field="6" count="1" selected="0">
            <x v="1"/>
          </reference>
        </references>
      </pivotArea>
    </chartFormat>
    <chartFormat chart="3"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7C5B1BB-D7FA-4282-8703-A2FD24D62348}" sourceName="Region">
  <pivotTables>
    <pivotTable tabId="4" name="PivotTable1"/>
    <pivotTable tabId="4" name="PivotTable2"/>
  </pivotTables>
  <data>
    <tabular pivotCacheId="1800465493">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CF075F7-1AEC-4C7D-816D-9F3F30EB6141}" sourceName="Segment">
  <pivotTables>
    <pivotTable tabId="4" name="PivotTable1"/>
    <pivotTable tabId="4" name="PivotTable2"/>
  </pivotTables>
  <data>
    <tabular pivotCacheId="1800465493">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87BF0AE-485A-463C-AD98-76323B64E547}" cache="Slicer_Region" caption="Region" rowHeight="234950"/>
  <slicer name="Segment" xr10:uid="{D2485ADB-18FD-4F89-BF88-0F6E147DDDF9}" cache="Slicer_Segment" caption="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92BF0A-EA65-4B60-B04C-83A58682B0FF}" name="Table1" displayName="Table1" ref="A1:G101" totalsRowShown="0" headerRowDxfId="11" dataDxfId="9" headerRowBorderDxfId="10" tableBorderDxfId="8" totalsRowBorderDxfId="7">
  <autoFilter ref="A1:G101" xr:uid="{CC92BF0A-EA65-4B60-B04C-83A58682B0FF}"/>
  <tableColumns count="7">
    <tableColumn id="1" xr3:uid="{25E975BA-F2CA-4C52-99D0-137BAFFA6077}" name="Customer ID" dataDxfId="6"/>
    <tableColumn id="2" xr3:uid="{902EAB7C-B05D-4B71-94A6-0B2159550D85}" name="Age" dataDxfId="5" dataCellStyle="Percent"/>
    <tableColumn id="3" xr3:uid="{BF98CD5F-5112-4500-9264-425D9B487A7C}" name="Income" dataDxfId="4"/>
    <tableColumn id="4" xr3:uid="{6BD351F8-DCA8-4D2C-9F3B-F42A5845CDAE}" name="Spending ($)" dataDxfId="3"/>
    <tableColumn id="5" xr3:uid="{4131B377-1D15-447B-B4F2-EDD2B3D79E75}" name="Frequency" dataDxfId="2"/>
    <tableColumn id="6" xr3:uid="{71CDD26A-7C31-4C18-998C-32B0353D2225}" name="Region" dataDxfId="1"/>
    <tableColumn id="7" xr3:uid="{08B6FA3F-C371-4389-9EDE-098DD649C448}" name="Segment" dataDxfId="0">
      <calculatedColumnFormula>IF(AND(Table1[[#This Row],[Spending ($)]]&gt;5000,Table1[[#This Row],[Frequency]]&gt;20),"Champion",IF(Table1[[#This Row],[Spending ($)]]&gt;1000,"Loyal","At Risk"))</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E724C-7950-47EA-A67F-AB5D15AB5D97}">
  <dimension ref="A1:F101"/>
  <sheetViews>
    <sheetView workbookViewId="0">
      <selection activeCell="I16" sqref="I16"/>
    </sheetView>
  </sheetViews>
  <sheetFormatPr defaultRowHeight="14.4" x14ac:dyDescent="0.3"/>
  <cols>
    <col min="1" max="1" width="13.21875" bestFit="1" customWidth="1"/>
    <col min="2" max="2" width="7.21875" customWidth="1"/>
    <col min="3" max="3" width="10.6640625" customWidth="1"/>
    <col min="4" max="4" width="13.33203125" bestFit="1" customWidth="1"/>
    <col min="5" max="5" width="11.44140625" bestFit="1" customWidth="1"/>
    <col min="6" max="6" width="9.77734375" customWidth="1"/>
  </cols>
  <sheetData>
    <row r="1" spans="1:6" ht="15" thickBot="1" x14ac:dyDescent="0.35">
      <c r="A1" s="1" t="s">
        <v>0</v>
      </c>
      <c r="B1" s="1" t="s">
        <v>1</v>
      </c>
      <c r="C1" s="1" t="s">
        <v>2</v>
      </c>
      <c r="D1" s="1" t="s">
        <v>3</v>
      </c>
      <c r="E1" s="1" t="s">
        <v>4</v>
      </c>
      <c r="F1" s="2" t="s">
        <v>5</v>
      </c>
    </row>
    <row r="2" spans="1:6" ht="15" thickBot="1" x14ac:dyDescent="0.35">
      <c r="A2" s="3" t="s">
        <v>6</v>
      </c>
      <c r="B2" s="3">
        <v>22</v>
      </c>
      <c r="C2" s="3">
        <v>45000</v>
      </c>
      <c r="D2" s="3">
        <v>1200</v>
      </c>
      <c r="E2" s="3">
        <v>15</v>
      </c>
      <c r="F2" s="4" t="s">
        <v>7</v>
      </c>
    </row>
    <row r="3" spans="1:6" ht="15" thickBot="1" x14ac:dyDescent="0.35">
      <c r="A3" s="3" t="s">
        <v>8</v>
      </c>
      <c r="B3" s="3">
        <v>34</v>
      </c>
      <c r="C3" s="3">
        <v>85000</v>
      </c>
      <c r="D3" s="3">
        <v>500</v>
      </c>
      <c r="E3" s="3">
        <v>2</v>
      </c>
      <c r="F3" s="4" t="s">
        <v>9</v>
      </c>
    </row>
    <row r="4" spans="1:6" ht="15" thickBot="1" x14ac:dyDescent="0.35">
      <c r="A4" s="3" t="s">
        <v>10</v>
      </c>
      <c r="B4" s="3">
        <v>29</v>
      </c>
      <c r="C4" s="3">
        <v>120000</v>
      </c>
      <c r="D4" s="3">
        <v>8000</v>
      </c>
      <c r="E4" s="3">
        <v>22</v>
      </c>
      <c r="F4" s="4" t="s">
        <v>7</v>
      </c>
    </row>
    <row r="5" spans="1:6" ht="15" thickBot="1" x14ac:dyDescent="0.35">
      <c r="A5" s="3" t="s">
        <v>11</v>
      </c>
      <c r="B5" s="3">
        <v>45</v>
      </c>
      <c r="C5" s="3">
        <v>60000</v>
      </c>
      <c r="D5" s="3">
        <v>2500</v>
      </c>
      <c r="E5" s="3">
        <v>8</v>
      </c>
      <c r="F5" s="4" t="s">
        <v>12</v>
      </c>
    </row>
    <row r="6" spans="1:6" ht="15" thickBot="1" x14ac:dyDescent="0.35">
      <c r="A6" s="3" t="s">
        <v>13</v>
      </c>
      <c r="B6" s="3">
        <v>52</v>
      </c>
      <c r="C6" s="3">
        <v>30000</v>
      </c>
      <c r="D6" s="3">
        <v>100</v>
      </c>
      <c r="E6" s="3">
        <v>1</v>
      </c>
      <c r="F6" s="4" t="s">
        <v>14</v>
      </c>
    </row>
    <row r="7" spans="1:6" ht="15" thickBot="1" x14ac:dyDescent="0.35">
      <c r="A7" s="3" t="s">
        <v>15</v>
      </c>
      <c r="B7" s="3">
        <v>21</v>
      </c>
      <c r="C7" s="3">
        <v>15000</v>
      </c>
      <c r="D7" s="3">
        <v>50</v>
      </c>
      <c r="E7" s="3">
        <v>1</v>
      </c>
      <c r="F7" s="4" t="s">
        <v>7</v>
      </c>
    </row>
    <row r="8" spans="1:6" ht="15" thickBot="1" x14ac:dyDescent="0.35">
      <c r="A8" s="3" t="s">
        <v>16</v>
      </c>
      <c r="B8" s="3">
        <v>38</v>
      </c>
      <c r="C8" s="3">
        <v>95000</v>
      </c>
      <c r="D8" s="3">
        <v>9500</v>
      </c>
      <c r="E8" s="3">
        <v>25</v>
      </c>
      <c r="F8" s="4" t="s">
        <v>9</v>
      </c>
    </row>
    <row r="9" spans="1:6" ht="15" thickBot="1" x14ac:dyDescent="0.35">
      <c r="A9" s="3" t="s">
        <v>17</v>
      </c>
      <c r="B9" s="3">
        <v>31</v>
      </c>
      <c r="C9" s="3">
        <v>70000</v>
      </c>
      <c r="D9" s="3">
        <v>1100</v>
      </c>
      <c r="E9" s="3">
        <v>4</v>
      </c>
      <c r="F9" s="4" t="s">
        <v>14</v>
      </c>
    </row>
    <row r="10" spans="1:6" ht="15" thickBot="1" x14ac:dyDescent="0.35">
      <c r="A10" s="3" t="s">
        <v>18</v>
      </c>
      <c r="B10" s="3">
        <v>27</v>
      </c>
      <c r="C10" s="3">
        <v>55000</v>
      </c>
      <c r="D10" s="3">
        <v>3000</v>
      </c>
      <c r="E10" s="3">
        <v>10</v>
      </c>
      <c r="F10" s="4" t="s">
        <v>12</v>
      </c>
    </row>
    <row r="11" spans="1:6" ht="15" thickBot="1" x14ac:dyDescent="0.35">
      <c r="A11" s="3" t="s">
        <v>19</v>
      </c>
      <c r="B11" s="3">
        <v>40</v>
      </c>
      <c r="C11" s="3">
        <v>110000</v>
      </c>
      <c r="D11" s="3">
        <v>15000</v>
      </c>
      <c r="E11" s="3">
        <v>30</v>
      </c>
      <c r="F11" s="4" t="s">
        <v>7</v>
      </c>
    </row>
    <row r="12" spans="1:6" ht="15" thickBot="1" x14ac:dyDescent="0.35">
      <c r="A12" s="3" t="s">
        <v>20</v>
      </c>
      <c r="B12" s="3">
        <v>36.266666666666701</v>
      </c>
      <c r="C12" s="3">
        <v>75666.666666666599</v>
      </c>
      <c r="D12" s="3">
        <v>8366.6666666666697</v>
      </c>
      <c r="E12" s="3">
        <v>16.866666666666699</v>
      </c>
      <c r="F12" s="4" t="s">
        <v>7</v>
      </c>
    </row>
    <row r="13" spans="1:6" ht="15" thickBot="1" x14ac:dyDescent="0.35">
      <c r="A13" s="3" t="s">
        <v>21</v>
      </c>
      <c r="B13" s="3">
        <v>36.696969696969703</v>
      </c>
      <c r="C13" s="3">
        <v>76969.696969696903</v>
      </c>
      <c r="D13" s="3">
        <v>9143.3333333333394</v>
      </c>
      <c r="E13" s="3">
        <v>17.7878787878788</v>
      </c>
      <c r="F13" s="4" t="s">
        <v>9</v>
      </c>
    </row>
    <row r="14" spans="1:6" ht="15" thickBot="1" x14ac:dyDescent="0.35">
      <c r="A14" s="3" t="s">
        <v>22</v>
      </c>
      <c r="B14" s="3">
        <v>37.127272727272697</v>
      </c>
      <c r="C14" s="3">
        <v>78272.727272727207</v>
      </c>
      <c r="D14" s="3">
        <v>9920</v>
      </c>
      <c r="E14" s="3">
        <v>18.709090909091</v>
      </c>
      <c r="F14" s="4" t="s">
        <v>7</v>
      </c>
    </row>
    <row r="15" spans="1:6" ht="15" thickBot="1" x14ac:dyDescent="0.35">
      <c r="A15" s="3" t="s">
        <v>23</v>
      </c>
      <c r="B15" s="3">
        <v>37.557575757575698</v>
      </c>
      <c r="C15" s="3">
        <v>79575.757575757496</v>
      </c>
      <c r="D15" s="3">
        <v>10696.666666666701</v>
      </c>
      <c r="E15" s="3">
        <v>19.6303030303031</v>
      </c>
      <c r="F15" s="4" t="s">
        <v>12</v>
      </c>
    </row>
    <row r="16" spans="1:6" ht="15" thickBot="1" x14ac:dyDescent="0.35">
      <c r="A16" s="3" t="s">
        <v>24</v>
      </c>
      <c r="B16" s="3">
        <v>37.987878787878799</v>
      </c>
      <c r="C16" s="3">
        <v>80878.7878787878</v>
      </c>
      <c r="D16" s="3">
        <v>11473.333333333299</v>
      </c>
      <c r="E16" s="3">
        <v>20.551515151515201</v>
      </c>
      <c r="F16" s="4" t="s">
        <v>14</v>
      </c>
    </row>
    <row r="17" spans="1:6" ht="15" thickBot="1" x14ac:dyDescent="0.35">
      <c r="A17" s="3" t="s">
        <v>25</v>
      </c>
      <c r="B17" s="3">
        <v>38.4181818181818</v>
      </c>
      <c r="C17" s="3">
        <v>82181.818181818104</v>
      </c>
      <c r="D17" s="3">
        <v>12250</v>
      </c>
      <c r="E17" s="3">
        <v>21.472727272727301</v>
      </c>
      <c r="F17" s="4" t="s">
        <v>7</v>
      </c>
    </row>
    <row r="18" spans="1:6" ht="15" thickBot="1" x14ac:dyDescent="0.35">
      <c r="A18" s="3" t="s">
        <v>26</v>
      </c>
      <c r="B18" s="3">
        <v>38.848484848484802</v>
      </c>
      <c r="C18" s="3">
        <v>83484.848484848393</v>
      </c>
      <c r="D18" s="3">
        <v>13026.666666666701</v>
      </c>
      <c r="E18" s="3">
        <v>22.393939393939402</v>
      </c>
      <c r="F18" s="4" t="s">
        <v>9</v>
      </c>
    </row>
    <row r="19" spans="1:6" ht="15" thickBot="1" x14ac:dyDescent="0.35">
      <c r="A19" s="3" t="s">
        <v>27</v>
      </c>
      <c r="B19" s="3">
        <v>39.278787878787902</v>
      </c>
      <c r="C19" s="3">
        <v>84787.878787878799</v>
      </c>
      <c r="D19" s="3">
        <v>13803.333333333299</v>
      </c>
      <c r="E19" s="3">
        <v>23.315151515151602</v>
      </c>
      <c r="F19" s="4" t="s">
        <v>14</v>
      </c>
    </row>
    <row r="20" spans="1:6" ht="15" thickBot="1" x14ac:dyDescent="0.35">
      <c r="A20" s="3" t="s">
        <v>28</v>
      </c>
      <c r="B20" s="3">
        <v>39.709090909090897</v>
      </c>
      <c r="C20" s="3">
        <v>86090.909090909103</v>
      </c>
      <c r="D20" s="3">
        <v>14580</v>
      </c>
      <c r="E20" s="3">
        <v>24.236363636363699</v>
      </c>
      <c r="F20" s="4" t="s">
        <v>12</v>
      </c>
    </row>
    <row r="21" spans="1:6" ht="15" thickBot="1" x14ac:dyDescent="0.35">
      <c r="A21" s="3" t="s">
        <v>29</v>
      </c>
      <c r="B21" s="3">
        <v>40.139393939393898</v>
      </c>
      <c r="C21" s="3">
        <v>87393.939393939407</v>
      </c>
      <c r="D21" s="3">
        <v>15356.666666666701</v>
      </c>
      <c r="E21" s="3">
        <v>25.157575757575799</v>
      </c>
      <c r="F21" s="4" t="s">
        <v>7</v>
      </c>
    </row>
    <row r="22" spans="1:6" ht="15" thickBot="1" x14ac:dyDescent="0.35">
      <c r="A22" s="3" t="s">
        <v>30</v>
      </c>
      <c r="B22" s="3">
        <v>40.569696969696999</v>
      </c>
      <c r="C22" s="3">
        <v>88696.969696969696</v>
      </c>
      <c r="D22" s="3">
        <v>16133.333333333299</v>
      </c>
      <c r="E22" s="3">
        <v>26.0787878787879</v>
      </c>
      <c r="F22" s="4" t="s">
        <v>7</v>
      </c>
    </row>
    <row r="23" spans="1:6" ht="15" thickBot="1" x14ac:dyDescent="0.35">
      <c r="A23" s="3" t="s">
        <v>31</v>
      </c>
      <c r="B23" s="3">
        <v>41</v>
      </c>
      <c r="C23" s="3">
        <v>90000</v>
      </c>
      <c r="D23" s="3">
        <v>16910</v>
      </c>
      <c r="E23" s="3">
        <v>27</v>
      </c>
      <c r="F23" s="4" t="s">
        <v>9</v>
      </c>
    </row>
    <row r="24" spans="1:6" ht="15" thickBot="1" x14ac:dyDescent="0.35">
      <c r="A24" s="3" t="s">
        <v>32</v>
      </c>
      <c r="B24" s="3">
        <v>41.430303030303001</v>
      </c>
      <c r="C24" s="3">
        <v>91303.030303030304</v>
      </c>
      <c r="D24" s="3">
        <v>17686.666666666701</v>
      </c>
      <c r="E24" s="3">
        <v>27.9212121212122</v>
      </c>
      <c r="F24" s="4" t="s">
        <v>7</v>
      </c>
    </row>
    <row r="25" spans="1:6" ht="15" thickBot="1" x14ac:dyDescent="0.35">
      <c r="A25" s="3" t="s">
        <v>33</v>
      </c>
      <c r="B25" s="3">
        <v>41.860606060606102</v>
      </c>
      <c r="C25" s="3">
        <v>92606.060606060593</v>
      </c>
      <c r="D25" s="3">
        <v>18463.333333333299</v>
      </c>
      <c r="E25" s="3">
        <v>28.8424242424243</v>
      </c>
      <c r="F25" s="4" t="s">
        <v>12</v>
      </c>
    </row>
    <row r="26" spans="1:6" ht="15" thickBot="1" x14ac:dyDescent="0.35">
      <c r="A26" s="3" t="s">
        <v>34</v>
      </c>
      <c r="B26" s="3">
        <v>42.290909090909103</v>
      </c>
      <c r="C26" s="3">
        <v>93909.090909090897</v>
      </c>
      <c r="D26" s="3">
        <v>19240</v>
      </c>
      <c r="E26" s="3">
        <v>29.763636363636401</v>
      </c>
      <c r="F26" s="4" t="s">
        <v>14</v>
      </c>
    </row>
    <row r="27" spans="1:6" ht="15" thickBot="1" x14ac:dyDescent="0.35">
      <c r="A27" s="3" t="s">
        <v>35</v>
      </c>
      <c r="B27" s="3">
        <v>42.721212121212197</v>
      </c>
      <c r="C27" s="3">
        <v>95212.121212121201</v>
      </c>
      <c r="D27" s="3">
        <v>20016.666666666701</v>
      </c>
      <c r="E27" s="3">
        <v>30.684848484848501</v>
      </c>
      <c r="F27" s="4" t="s">
        <v>7</v>
      </c>
    </row>
    <row r="28" spans="1:6" ht="15" thickBot="1" x14ac:dyDescent="0.35">
      <c r="A28" s="3" t="s">
        <v>36</v>
      </c>
      <c r="B28" s="3">
        <v>43.151515151515198</v>
      </c>
      <c r="C28" s="3">
        <v>96515.151515151505</v>
      </c>
      <c r="D28" s="3">
        <v>20793.333333333299</v>
      </c>
      <c r="E28" s="3">
        <v>31.606060606060701</v>
      </c>
      <c r="F28" s="4" t="s">
        <v>9</v>
      </c>
    </row>
    <row r="29" spans="1:6" ht="15" thickBot="1" x14ac:dyDescent="0.35">
      <c r="A29" s="3" t="s">
        <v>37</v>
      </c>
      <c r="B29" s="3">
        <v>43.5818181818182</v>
      </c>
      <c r="C29" s="3">
        <v>97818.181818181794</v>
      </c>
      <c r="D29" s="3">
        <v>21570</v>
      </c>
      <c r="E29" s="3">
        <v>32.527272727272802</v>
      </c>
      <c r="F29" s="4" t="s">
        <v>14</v>
      </c>
    </row>
    <row r="30" spans="1:6" ht="15" thickBot="1" x14ac:dyDescent="0.35">
      <c r="A30" s="3" t="s">
        <v>38</v>
      </c>
      <c r="B30" s="3">
        <v>44.012121212121201</v>
      </c>
      <c r="C30" s="3">
        <v>99121.212121212098</v>
      </c>
      <c r="D30" s="3">
        <v>22346.666666666701</v>
      </c>
      <c r="E30" s="3">
        <v>33.448484848484902</v>
      </c>
      <c r="F30" s="4" t="s">
        <v>12</v>
      </c>
    </row>
    <row r="31" spans="1:6" ht="15" thickBot="1" x14ac:dyDescent="0.35">
      <c r="A31" s="3" t="s">
        <v>39</v>
      </c>
      <c r="B31" s="3">
        <v>44.442424242424302</v>
      </c>
      <c r="C31" s="3">
        <v>100424.24242424199</v>
      </c>
      <c r="D31" s="3">
        <v>23123.333333333299</v>
      </c>
      <c r="E31" s="3">
        <v>34.369696969697003</v>
      </c>
      <c r="F31" s="4" t="s">
        <v>7</v>
      </c>
    </row>
    <row r="32" spans="1:6" ht="15" thickBot="1" x14ac:dyDescent="0.35">
      <c r="A32" s="3" t="s">
        <v>40</v>
      </c>
      <c r="B32" s="3">
        <v>44.872727272727303</v>
      </c>
      <c r="C32" s="3">
        <v>101727.272727273</v>
      </c>
      <c r="D32" s="3">
        <v>23900</v>
      </c>
      <c r="E32" s="3">
        <v>35.290909090909103</v>
      </c>
      <c r="F32" s="4" t="s">
        <v>7</v>
      </c>
    </row>
    <row r="33" spans="1:6" ht="15" thickBot="1" x14ac:dyDescent="0.35">
      <c r="A33" s="3" t="s">
        <v>41</v>
      </c>
      <c r="B33" s="3">
        <v>45.303030303030297</v>
      </c>
      <c r="C33" s="3">
        <v>103030.303030303</v>
      </c>
      <c r="D33" s="3">
        <v>24676.666666666701</v>
      </c>
      <c r="E33" s="3">
        <v>36.212121212121303</v>
      </c>
      <c r="F33" s="4" t="s">
        <v>9</v>
      </c>
    </row>
    <row r="34" spans="1:6" ht="15" thickBot="1" x14ac:dyDescent="0.35">
      <c r="A34" s="3" t="s">
        <v>42</v>
      </c>
      <c r="B34" s="3">
        <v>45.733333333333398</v>
      </c>
      <c r="C34" s="3">
        <v>104333.33333333299</v>
      </c>
      <c r="D34" s="3">
        <v>25453.333333333299</v>
      </c>
      <c r="E34" s="3">
        <v>37.133333333333397</v>
      </c>
      <c r="F34" s="4" t="s">
        <v>7</v>
      </c>
    </row>
    <row r="35" spans="1:6" ht="15" thickBot="1" x14ac:dyDescent="0.35">
      <c r="A35" s="3" t="s">
        <v>43</v>
      </c>
      <c r="B35" s="3">
        <v>46.1636363636364</v>
      </c>
      <c r="C35" s="3">
        <v>105636.363636364</v>
      </c>
      <c r="D35" s="3">
        <v>26230</v>
      </c>
      <c r="E35" s="3">
        <v>38.054545454545497</v>
      </c>
      <c r="F35" s="4" t="s">
        <v>12</v>
      </c>
    </row>
    <row r="36" spans="1:6" ht="15" thickBot="1" x14ac:dyDescent="0.35">
      <c r="A36" s="3" t="s">
        <v>44</v>
      </c>
      <c r="B36" s="3">
        <v>46.593939393939401</v>
      </c>
      <c r="C36" s="3">
        <v>106939.39393939399</v>
      </c>
      <c r="D36" s="3">
        <v>27006.666666666701</v>
      </c>
      <c r="E36" s="3">
        <v>38.975757575757598</v>
      </c>
      <c r="F36" s="4" t="s">
        <v>14</v>
      </c>
    </row>
    <row r="37" spans="1:6" ht="15" thickBot="1" x14ac:dyDescent="0.35">
      <c r="A37" s="3" t="s">
        <v>45</v>
      </c>
      <c r="B37" s="3">
        <v>47.024242424242502</v>
      </c>
      <c r="C37" s="3">
        <v>108242.42424242399</v>
      </c>
      <c r="D37" s="3">
        <v>27783.333333333299</v>
      </c>
      <c r="E37" s="3">
        <v>39.896969696969698</v>
      </c>
      <c r="F37" s="4" t="s">
        <v>7</v>
      </c>
    </row>
    <row r="38" spans="1:6" ht="15" thickBot="1" x14ac:dyDescent="0.35">
      <c r="A38" s="3" t="s">
        <v>46</v>
      </c>
      <c r="B38" s="3">
        <v>47.454545454545503</v>
      </c>
      <c r="C38" s="3">
        <v>109545.454545455</v>
      </c>
      <c r="D38" s="3">
        <v>28560</v>
      </c>
      <c r="E38" s="3">
        <v>40.818181818181898</v>
      </c>
      <c r="F38" s="4" t="s">
        <v>9</v>
      </c>
    </row>
    <row r="39" spans="1:6" ht="15" thickBot="1" x14ac:dyDescent="0.35">
      <c r="A39" s="3" t="s">
        <v>47</v>
      </c>
      <c r="B39" s="3">
        <v>47.884848484848497</v>
      </c>
      <c r="C39" s="3">
        <v>110848.48484848499</v>
      </c>
      <c r="D39" s="3">
        <v>29336.666666666701</v>
      </c>
      <c r="E39" s="3">
        <v>41.739393939393999</v>
      </c>
      <c r="F39" s="4" t="s">
        <v>14</v>
      </c>
    </row>
    <row r="40" spans="1:6" ht="15" thickBot="1" x14ac:dyDescent="0.35">
      <c r="A40" s="3" t="s">
        <v>48</v>
      </c>
      <c r="B40" s="3">
        <v>48.315151515151598</v>
      </c>
      <c r="C40" s="3">
        <v>112151.51515151501</v>
      </c>
      <c r="D40" s="3">
        <v>30113.333333333299</v>
      </c>
      <c r="E40" s="3">
        <v>42.660606060606099</v>
      </c>
      <c r="F40" s="4" t="s">
        <v>12</v>
      </c>
    </row>
    <row r="41" spans="1:6" ht="15" thickBot="1" x14ac:dyDescent="0.35">
      <c r="A41" s="3" t="s">
        <v>49</v>
      </c>
      <c r="B41" s="3">
        <v>48.745454545454599</v>
      </c>
      <c r="C41" s="3">
        <v>113454.545454545</v>
      </c>
      <c r="D41" s="3">
        <v>30890</v>
      </c>
      <c r="E41" s="3">
        <v>43.5818181818182</v>
      </c>
      <c r="F41" s="4" t="s">
        <v>7</v>
      </c>
    </row>
    <row r="42" spans="1:6" ht="15" thickBot="1" x14ac:dyDescent="0.35">
      <c r="A42" s="3" t="s">
        <v>50</v>
      </c>
      <c r="B42" s="3">
        <v>49.175757575757601</v>
      </c>
      <c r="C42" s="3">
        <v>114757.57575757601</v>
      </c>
      <c r="D42" s="3">
        <v>31666.666666666701</v>
      </c>
      <c r="E42" s="3">
        <v>44.5030303030304</v>
      </c>
      <c r="F42" s="4" t="s">
        <v>7</v>
      </c>
    </row>
    <row r="43" spans="1:6" ht="15" thickBot="1" x14ac:dyDescent="0.35">
      <c r="A43" s="3" t="s">
        <v>51</v>
      </c>
      <c r="B43" s="3">
        <v>49.606060606060602</v>
      </c>
      <c r="C43" s="3">
        <v>116060.60606060601</v>
      </c>
      <c r="D43" s="3">
        <v>32443.333333333299</v>
      </c>
      <c r="E43" s="3">
        <v>45.4242424242425</v>
      </c>
      <c r="F43" s="4" t="s">
        <v>9</v>
      </c>
    </row>
    <row r="44" spans="1:6" ht="15" thickBot="1" x14ac:dyDescent="0.35">
      <c r="A44" s="3" t="s">
        <v>52</v>
      </c>
      <c r="B44" s="3">
        <v>50.036363636363703</v>
      </c>
      <c r="C44" s="3">
        <v>117363.636363636</v>
      </c>
      <c r="D44" s="3">
        <v>33220</v>
      </c>
      <c r="E44" s="3">
        <v>46.345454545454601</v>
      </c>
      <c r="F44" s="4" t="s">
        <v>7</v>
      </c>
    </row>
    <row r="45" spans="1:6" ht="15" thickBot="1" x14ac:dyDescent="0.35">
      <c r="A45" s="3" t="s">
        <v>53</v>
      </c>
      <c r="B45" s="3">
        <v>50.466666666666697</v>
      </c>
      <c r="C45" s="3">
        <v>118666.66666666701</v>
      </c>
      <c r="D45" s="3">
        <v>33996.666666666701</v>
      </c>
      <c r="E45" s="3">
        <v>47.266666666666701</v>
      </c>
      <c r="F45" s="4" t="s">
        <v>12</v>
      </c>
    </row>
    <row r="46" spans="1:6" ht="15" thickBot="1" x14ac:dyDescent="0.35">
      <c r="A46" s="3" t="s">
        <v>54</v>
      </c>
      <c r="B46" s="3">
        <v>50.896969696969698</v>
      </c>
      <c r="C46" s="3">
        <v>119969.696969697</v>
      </c>
      <c r="D46" s="3">
        <v>34773.333333333299</v>
      </c>
      <c r="E46" s="3">
        <v>48.187878787878802</v>
      </c>
      <c r="F46" s="4" t="s">
        <v>14</v>
      </c>
    </row>
    <row r="47" spans="1:6" ht="15" thickBot="1" x14ac:dyDescent="0.35">
      <c r="A47" s="3" t="s">
        <v>55</v>
      </c>
      <c r="B47" s="3">
        <v>51.327272727272799</v>
      </c>
      <c r="C47" s="3">
        <v>121272.727272727</v>
      </c>
      <c r="D47" s="3">
        <v>35550</v>
      </c>
      <c r="E47" s="3">
        <v>49.109090909091002</v>
      </c>
      <c r="F47" s="4" t="s">
        <v>7</v>
      </c>
    </row>
    <row r="48" spans="1:6" ht="15" thickBot="1" x14ac:dyDescent="0.35">
      <c r="A48" s="3" t="s">
        <v>56</v>
      </c>
      <c r="B48" s="3">
        <v>51.7575757575758</v>
      </c>
      <c r="C48" s="3">
        <v>122575.75757575801</v>
      </c>
      <c r="D48" s="3">
        <v>36326.666666666701</v>
      </c>
      <c r="E48" s="3">
        <v>50.030303030303102</v>
      </c>
      <c r="F48" s="4" t="s">
        <v>9</v>
      </c>
    </row>
    <row r="49" spans="1:6" ht="15" thickBot="1" x14ac:dyDescent="0.35">
      <c r="A49" s="3" t="s">
        <v>57</v>
      </c>
      <c r="B49" s="3">
        <v>52.187878787878802</v>
      </c>
      <c r="C49" s="3">
        <v>123878.787878788</v>
      </c>
      <c r="D49" s="3">
        <v>37103.333333333401</v>
      </c>
      <c r="E49" s="3">
        <v>50.951515151515203</v>
      </c>
      <c r="F49" s="4" t="s">
        <v>14</v>
      </c>
    </row>
    <row r="50" spans="1:6" ht="15" thickBot="1" x14ac:dyDescent="0.35">
      <c r="A50" s="3" t="s">
        <v>58</v>
      </c>
      <c r="B50" s="3">
        <v>52.618181818181903</v>
      </c>
      <c r="C50" s="3">
        <v>125181.818181818</v>
      </c>
      <c r="D50" s="3">
        <v>37880</v>
      </c>
      <c r="E50" s="3">
        <v>51.872727272727303</v>
      </c>
      <c r="F50" s="4" t="s">
        <v>12</v>
      </c>
    </row>
    <row r="51" spans="1:6" ht="15" thickBot="1" x14ac:dyDescent="0.35">
      <c r="A51" s="3" t="s">
        <v>59</v>
      </c>
      <c r="B51" s="3">
        <v>53.048484848484897</v>
      </c>
      <c r="C51" s="3">
        <v>126484.848484848</v>
      </c>
      <c r="D51" s="3">
        <v>38656.666666666701</v>
      </c>
      <c r="E51" s="3">
        <v>52.793939393939397</v>
      </c>
      <c r="F51" s="4" t="s">
        <v>7</v>
      </c>
    </row>
    <row r="52" spans="1:6" ht="15" thickBot="1" x14ac:dyDescent="0.35">
      <c r="A52" s="3" t="s">
        <v>60</v>
      </c>
      <c r="B52" s="3">
        <v>53.478787878787898</v>
      </c>
      <c r="C52" s="3">
        <v>127787.878787879</v>
      </c>
      <c r="D52" s="3">
        <v>39433.333333333401</v>
      </c>
      <c r="E52" s="3">
        <v>53.715151515151597</v>
      </c>
      <c r="F52" s="4" t="s">
        <v>7</v>
      </c>
    </row>
    <row r="53" spans="1:6" ht="15" thickBot="1" x14ac:dyDescent="0.35">
      <c r="A53" s="3" t="s">
        <v>61</v>
      </c>
      <c r="B53" s="3">
        <v>53.909090909090899</v>
      </c>
      <c r="C53" s="3">
        <v>129090.909090909</v>
      </c>
      <c r="D53" s="3">
        <v>40210</v>
      </c>
      <c r="E53" s="3">
        <v>54.636363636363697</v>
      </c>
      <c r="F53" s="4" t="s">
        <v>9</v>
      </c>
    </row>
    <row r="54" spans="1:6" ht="15" thickBot="1" x14ac:dyDescent="0.35">
      <c r="A54" s="3" t="s">
        <v>62</v>
      </c>
      <c r="B54" s="3">
        <v>54.339393939394</v>
      </c>
      <c r="C54" s="3">
        <v>130393.939393939</v>
      </c>
      <c r="D54" s="3">
        <v>40986.666666666701</v>
      </c>
      <c r="E54" s="3">
        <v>55.557575757575798</v>
      </c>
      <c r="F54" s="4" t="s">
        <v>7</v>
      </c>
    </row>
    <row r="55" spans="1:6" ht="15" thickBot="1" x14ac:dyDescent="0.35">
      <c r="A55" s="3" t="s">
        <v>63</v>
      </c>
      <c r="B55" s="3">
        <v>54.769696969697002</v>
      </c>
      <c r="C55" s="3">
        <v>131696.96969696999</v>
      </c>
      <c r="D55" s="3">
        <v>41763.333333333401</v>
      </c>
      <c r="E55" s="3">
        <v>56.478787878787898</v>
      </c>
      <c r="F55" s="4" t="s">
        <v>12</v>
      </c>
    </row>
    <row r="56" spans="1:6" ht="15" thickBot="1" x14ac:dyDescent="0.35">
      <c r="A56" s="3" t="s">
        <v>64</v>
      </c>
      <c r="B56" s="3">
        <v>55.2</v>
      </c>
      <c r="C56" s="3">
        <v>133000</v>
      </c>
      <c r="D56" s="3">
        <v>42540</v>
      </c>
      <c r="E56" s="3">
        <v>57.4</v>
      </c>
      <c r="F56" s="4" t="s">
        <v>14</v>
      </c>
    </row>
    <row r="57" spans="1:6" ht="15" thickBot="1" x14ac:dyDescent="0.35">
      <c r="A57" s="3" t="s">
        <v>65</v>
      </c>
      <c r="B57" s="3">
        <v>55.630303030303097</v>
      </c>
      <c r="C57" s="3">
        <v>134303.03030303001</v>
      </c>
      <c r="D57" s="3">
        <v>43316.666666666701</v>
      </c>
      <c r="E57" s="3">
        <v>58.321212121212199</v>
      </c>
      <c r="F57" s="4" t="s">
        <v>7</v>
      </c>
    </row>
    <row r="58" spans="1:6" ht="15" thickBot="1" x14ac:dyDescent="0.35">
      <c r="A58" s="3" t="s">
        <v>66</v>
      </c>
      <c r="B58" s="3">
        <v>56.060606060606098</v>
      </c>
      <c r="C58" s="3">
        <v>135606.06060606099</v>
      </c>
      <c r="D58" s="3">
        <v>44093.333333333401</v>
      </c>
      <c r="E58" s="3">
        <v>59.242424242424299</v>
      </c>
      <c r="F58" s="4" t="s">
        <v>9</v>
      </c>
    </row>
    <row r="59" spans="1:6" ht="15" thickBot="1" x14ac:dyDescent="0.35">
      <c r="A59" s="3" t="s">
        <v>67</v>
      </c>
      <c r="B59" s="3">
        <v>56.490909090909099</v>
      </c>
      <c r="C59" s="3">
        <v>136909.090909091</v>
      </c>
      <c r="D59" s="3">
        <v>44870</v>
      </c>
      <c r="E59" s="3">
        <v>60.1636363636364</v>
      </c>
      <c r="F59" s="4" t="s">
        <v>14</v>
      </c>
    </row>
    <row r="60" spans="1:6" ht="15" thickBot="1" x14ac:dyDescent="0.35">
      <c r="A60" s="3" t="s">
        <v>68</v>
      </c>
      <c r="B60" s="3">
        <v>56.9212121212122</v>
      </c>
      <c r="C60" s="3">
        <v>138212.12121212101</v>
      </c>
      <c r="D60" s="3">
        <v>45646.666666666701</v>
      </c>
      <c r="E60" s="3">
        <v>61.0848484848485</v>
      </c>
      <c r="F60" s="4" t="s">
        <v>12</v>
      </c>
    </row>
    <row r="61" spans="1:6" ht="15" thickBot="1" x14ac:dyDescent="0.35">
      <c r="A61" s="3" t="s">
        <v>69</v>
      </c>
      <c r="B61" s="3">
        <v>57.351515151515201</v>
      </c>
      <c r="C61" s="3">
        <v>139515.15151515201</v>
      </c>
      <c r="D61" s="3">
        <v>46423.333333333401</v>
      </c>
      <c r="E61" s="3">
        <v>62.0060606060607</v>
      </c>
      <c r="F61" s="4" t="s">
        <v>7</v>
      </c>
    </row>
    <row r="62" spans="1:6" ht="15" thickBot="1" x14ac:dyDescent="0.35">
      <c r="A62" s="3" t="s">
        <v>70</v>
      </c>
      <c r="B62" s="3">
        <v>57.781818181818203</v>
      </c>
      <c r="C62" s="3">
        <v>140818.181818182</v>
      </c>
      <c r="D62" s="3">
        <v>47200</v>
      </c>
      <c r="E62" s="3">
        <v>62.927272727272801</v>
      </c>
      <c r="F62" s="4" t="s">
        <v>7</v>
      </c>
    </row>
    <row r="63" spans="1:6" ht="15" thickBot="1" x14ac:dyDescent="0.35">
      <c r="A63" s="3" t="s">
        <v>71</v>
      </c>
      <c r="B63" s="3">
        <v>58.212121212121197</v>
      </c>
      <c r="C63" s="3">
        <v>142121.21212121201</v>
      </c>
      <c r="D63" s="3">
        <v>47976.666666666701</v>
      </c>
      <c r="E63" s="3">
        <v>63.848484848484901</v>
      </c>
      <c r="F63" s="4" t="s">
        <v>9</v>
      </c>
    </row>
    <row r="64" spans="1:6" ht="15" thickBot="1" x14ac:dyDescent="0.35">
      <c r="A64" s="3" t="s">
        <v>72</v>
      </c>
      <c r="B64" s="3">
        <v>58.642424242424298</v>
      </c>
      <c r="C64" s="3">
        <v>143424.24242424199</v>
      </c>
      <c r="D64" s="3">
        <v>48753.333333333401</v>
      </c>
      <c r="E64" s="3">
        <v>64.769696969696994</v>
      </c>
      <c r="F64" s="4" t="s">
        <v>7</v>
      </c>
    </row>
    <row r="65" spans="1:6" ht="15" thickBot="1" x14ac:dyDescent="0.35">
      <c r="A65" s="3" t="s">
        <v>73</v>
      </c>
      <c r="B65" s="3">
        <v>59.072727272727299</v>
      </c>
      <c r="C65" s="3">
        <v>144727.272727273</v>
      </c>
      <c r="D65" s="3">
        <v>49530</v>
      </c>
      <c r="E65" s="3">
        <v>65.690909090909102</v>
      </c>
      <c r="F65" s="4" t="s">
        <v>12</v>
      </c>
    </row>
    <row r="66" spans="1:6" ht="15" thickBot="1" x14ac:dyDescent="0.35">
      <c r="A66" s="3" t="s">
        <v>74</v>
      </c>
      <c r="B66" s="3">
        <v>59.5030303030303</v>
      </c>
      <c r="C66" s="3">
        <v>146030.30303030301</v>
      </c>
      <c r="D66" s="3">
        <v>50306.666666666701</v>
      </c>
      <c r="E66" s="3">
        <v>66.612121212121295</v>
      </c>
      <c r="F66" s="4" t="s">
        <v>14</v>
      </c>
    </row>
    <row r="67" spans="1:6" ht="15" thickBot="1" x14ac:dyDescent="0.35">
      <c r="A67" s="3" t="s">
        <v>75</v>
      </c>
      <c r="B67" s="3">
        <v>59.933333333333401</v>
      </c>
      <c r="C67" s="3">
        <v>147333.33333333299</v>
      </c>
      <c r="D67" s="3">
        <v>51083.333333333401</v>
      </c>
      <c r="E67" s="3">
        <v>67.533333333333303</v>
      </c>
      <c r="F67" s="4" t="s">
        <v>7</v>
      </c>
    </row>
    <row r="68" spans="1:6" ht="15" thickBot="1" x14ac:dyDescent="0.35">
      <c r="A68" s="3" t="s">
        <v>76</v>
      </c>
      <c r="B68" s="3">
        <v>60.363636363636402</v>
      </c>
      <c r="C68" s="3">
        <v>148636.363636364</v>
      </c>
      <c r="D68" s="3">
        <v>51860</v>
      </c>
      <c r="E68" s="3">
        <v>68.454545454545496</v>
      </c>
      <c r="F68" s="4" t="s">
        <v>9</v>
      </c>
    </row>
    <row r="69" spans="1:6" ht="15" thickBot="1" x14ac:dyDescent="0.35">
      <c r="A69" s="3" t="s">
        <v>77</v>
      </c>
      <c r="B69" s="3">
        <v>60.793939393939397</v>
      </c>
      <c r="C69" s="3">
        <v>149939.39393939401</v>
      </c>
      <c r="D69" s="3">
        <v>52636.666666666701</v>
      </c>
      <c r="E69" s="3">
        <v>69.375757575757504</v>
      </c>
      <c r="F69" s="4" t="s">
        <v>14</v>
      </c>
    </row>
    <row r="70" spans="1:6" ht="15" thickBot="1" x14ac:dyDescent="0.35">
      <c r="A70" s="3" t="s">
        <v>78</v>
      </c>
      <c r="B70" s="3">
        <v>61.224242424242497</v>
      </c>
      <c r="C70" s="3">
        <v>151242.42424242399</v>
      </c>
      <c r="D70" s="3">
        <v>53413.333333333401</v>
      </c>
      <c r="E70" s="3">
        <v>70.296969696969697</v>
      </c>
      <c r="F70" s="4" t="s">
        <v>12</v>
      </c>
    </row>
    <row r="71" spans="1:6" ht="15" thickBot="1" x14ac:dyDescent="0.35">
      <c r="A71" s="3" t="s">
        <v>79</v>
      </c>
      <c r="B71" s="3">
        <v>61.654545454545499</v>
      </c>
      <c r="C71" s="3">
        <v>152545.454545455</v>
      </c>
      <c r="D71" s="3">
        <v>54190</v>
      </c>
      <c r="E71" s="3">
        <v>71.218181818181804</v>
      </c>
      <c r="F71" s="4" t="s">
        <v>7</v>
      </c>
    </row>
    <row r="72" spans="1:6" ht="15" thickBot="1" x14ac:dyDescent="0.35">
      <c r="A72" s="3" t="s">
        <v>80</v>
      </c>
      <c r="B72" s="3">
        <v>62.0848484848485</v>
      </c>
      <c r="C72" s="3">
        <v>153848.48484848501</v>
      </c>
      <c r="D72" s="3">
        <v>54966.666666666701</v>
      </c>
      <c r="E72" s="3">
        <v>72.139393939393997</v>
      </c>
      <c r="F72" s="4" t="s">
        <v>7</v>
      </c>
    </row>
    <row r="73" spans="1:6" ht="15" thickBot="1" x14ac:dyDescent="0.35">
      <c r="A73" s="3" t="s">
        <v>81</v>
      </c>
      <c r="B73" s="3">
        <v>62.515151515151601</v>
      </c>
      <c r="C73" s="3">
        <v>155151.51515151499</v>
      </c>
      <c r="D73" s="3">
        <v>55743.333333333401</v>
      </c>
      <c r="E73" s="3">
        <v>73.060606060606105</v>
      </c>
      <c r="F73" s="4" t="s">
        <v>9</v>
      </c>
    </row>
    <row r="74" spans="1:6" ht="15" thickBot="1" x14ac:dyDescent="0.35">
      <c r="A74" s="3" t="s">
        <v>82</v>
      </c>
      <c r="B74" s="3">
        <v>62.945454545454602</v>
      </c>
      <c r="C74" s="3">
        <v>156454.545454545</v>
      </c>
      <c r="D74" s="3">
        <v>56520</v>
      </c>
      <c r="E74" s="3">
        <v>73.981818181818198</v>
      </c>
      <c r="F74" s="4" t="s">
        <v>7</v>
      </c>
    </row>
    <row r="75" spans="1:6" ht="15" thickBot="1" x14ac:dyDescent="0.35">
      <c r="A75" s="3" t="s">
        <v>83</v>
      </c>
      <c r="B75" s="3">
        <v>63.375757575757603</v>
      </c>
      <c r="C75" s="3">
        <v>157757.57575757601</v>
      </c>
      <c r="D75" s="3">
        <v>57296.666666666701</v>
      </c>
      <c r="E75" s="3">
        <v>74.903030303030206</v>
      </c>
      <c r="F75" s="4" t="s">
        <v>12</v>
      </c>
    </row>
    <row r="76" spans="1:6" ht="15" thickBot="1" x14ac:dyDescent="0.35">
      <c r="A76" s="3" t="s">
        <v>84</v>
      </c>
      <c r="B76" s="3">
        <v>63.806060606060598</v>
      </c>
      <c r="C76" s="3">
        <v>159060.60606060599</v>
      </c>
      <c r="D76" s="3">
        <v>58073.333333333401</v>
      </c>
      <c r="E76" s="3">
        <v>75.824242424242499</v>
      </c>
      <c r="F76" s="4" t="s">
        <v>14</v>
      </c>
    </row>
    <row r="77" spans="1:6" ht="15" thickBot="1" x14ac:dyDescent="0.35">
      <c r="A77" s="3" t="s">
        <v>85</v>
      </c>
      <c r="B77" s="3">
        <v>64.236363636363706</v>
      </c>
      <c r="C77" s="3">
        <v>160363.636363636</v>
      </c>
      <c r="D77" s="3">
        <v>58850</v>
      </c>
      <c r="E77" s="3">
        <v>76.745454545454507</v>
      </c>
      <c r="F77" s="4" t="s">
        <v>7</v>
      </c>
    </row>
    <row r="78" spans="1:6" ht="15" thickBot="1" x14ac:dyDescent="0.35">
      <c r="A78" s="3" t="s">
        <v>86</v>
      </c>
      <c r="B78" s="3">
        <v>64.6666666666667</v>
      </c>
      <c r="C78" s="3">
        <v>161666.66666666701</v>
      </c>
      <c r="D78" s="3">
        <v>59626.666666666701</v>
      </c>
      <c r="E78" s="3">
        <v>77.6666666666667</v>
      </c>
      <c r="F78" s="4" t="s">
        <v>9</v>
      </c>
    </row>
    <row r="79" spans="1:6" ht="15" thickBot="1" x14ac:dyDescent="0.35">
      <c r="A79" s="3" t="s">
        <v>87</v>
      </c>
      <c r="B79" s="3">
        <v>65.096969696969694</v>
      </c>
      <c r="C79" s="3">
        <v>162969.69696969699</v>
      </c>
      <c r="D79" s="3">
        <v>60403.333333333401</v>
      </c>
      <c r="E79" s="3">
        <v>78.587878787878793</v>
      </c>
      <c r="F79" s="4" t="s">
        <v>14</v>
      </c>
    </row>
    <row r="80" spans="1:6" ht="15" thickBot="1" x14ac:dyDescent="0.35">
      <c r="A80" s="3" t="s">
        <v>88</v>
      </c>
      <c r="B80" s="3">
        <v>65.527272727272802</v>
      </c>
      <c r="C80" s="3">
        <v>164272.72727272799</v>
      </c>
      <c r="D80" s="3">
        <v>61180</v>
      </c>
      <c r="E80" s="3">
        <v>79.509090909091</v>
      </c>
      <c r="F80" s="4" t="s">
        <v>12</v>
      </c>
    </row>
    <row r="81" spans="1:6" ht="15" thickBot="1" x14ac:dyDescent="0.35">
      <c r="A81" s="3" t="s">
        <v>89</v>
      </c>
      <c r="B81" s="3">
        <v>65.957575757575796</v>
      </c>
      <c r="C81" s="3">
        <v>165575.75757575801</v>
      </c>
      <c r="D81" s="3">
        <v>61956.666666666701</v>
      </c>
      <c r="E81" s="3">
        <v>80.430303030303094</v>
      </c>
      <c r="F81" s="4" t="s">
        <v>7</v>
      </c>
    </row>
    <row r="82" spans="1:6" ht="15" thickBot="1" x14ac:dyDescent="0.35">
      <c r="A82" s="3" t="s">
        <v>90</v>
      </c>
      <c r="B82" s="3">
        <v>66.387878787878805</v>
      </c>
      <c r="C82" s="3">
        <v>166878.78787878799</v>
      </c>
      <c r="D82" s="3">
        <v>62733.333333333401</v>
      </c>
      <c r="E82" s="3">
        <v>81.351515151515201</v>
      </c>
      <c r="F82" s="4" t="s">
        <v>7</v>
      </c>
    </row>
    <row r="83" spans="1:6" ht="15" thickBot="1" x14ac:dyDescent="0.35">
      <c r="A83" s="3" t="s">
        <v>91</v>
      </c>
      <c r="B83" s="3">
        <v>66.818181818181898</v>
      </c>
      <c r="C83" s="3">
        <v>168181.81818181899</v>
      </c>
      <c r="D83" s="3">
        <v>63510</v>
      </c>
      <c r="E83" s="3">
        <v>82.272727272727295</v>
      </c>
      <c r="F83" s="4" t="s">
        <v>9</v>
      </c>
    </row>
    <row r="84" spans="1:6" ht="15" thickBot="1" x14ac:dyDescent="0.35">
      <c r="A84" s="3" t="s">
        <v>92</v>
      </c>
      <c r="B84" s="3">
        <v>67.248484848484907</v>
      </c>
      <c r="C84" s="3">
        <v>169484.848484849</v>
      </c>
      <c r="D84" s="3">
        <v>64286.666666666701</v>
      </c>
      <c r="E84" s="3">
        <v>83.193939393939402</v>
      </c>
      <c r="F84" s="4" t="s">
        <v>7</v>
      </c>
    </row>
    <row r="85" spans="1:6" ht="15" thickBot="1" x14ac:dyDescent="0.35">
      <c r="A85" s="3" t="s">
        <v>93</v>
      </c>
      <c r="B85" s="3">
        <v>67.678787878787901</v>
      </c>
      <c r="C85" s="3">
        <v>170787.87878787899</v>
      </c>
      <c r="D85" s="3">
        <v>65063.333333333401</v>
      </c>
      <c r="E85" s="3">
        <v>84.115151515151595</v>
      </c>
      <c r="F85" s="4" t="s">
        <v>12</v>
      </c>
    </row>
    <row r="86" spans="1:6" ht="15" thickBot="1" x14ac:dyDescent="0.35">
      <c r="A86" s="3" t="s">
        <v>94</v>
      </c>
      <c r="B86" s="3">
        <v>68.109090909090895</v>
      </c>
      <c r="C86" s="3">
        <v>172090.909090909</v>
      </c>
      <c r="D86" s="3">
        <v>65840</v>
      </c>
      <c r="E86" s="3">
        <v>85.036363636363703</v>
      </c>
      <c r="F86" s="4" t="s">
        <v>14</v>
      </c>
    </row>
    <row r="87" spans="1:6" ht="15" thickBot="1" x14ac:dyDescent="0.35">
      <c r="A87" s="3" t="s">
        <v>95</v>
      </c>
      <c r="B87" s="3">
        <v>68.539393939394003</v>
      </c>
      <c r="C87" s="3">
        <v>173393.93939394</v>
      </c>
      <c r="D87" s="3">
        <v>66616.666666666701</v>
      </c>
      <c r="E87" s="3">
        <v>85.957575757575796</v>
      </c>
      <c r="F87" s="4" t="s">
        <v>7</v>
      </c>
    </row>
    <row r="88" spans="1:6" ht="15" thickBot="1" x14ac:dyDescent="0.35">
      <c r="A88" s="3" t="s">
        <v>96</v>
      </c>
      <c r="B88" s="3">
        <v>68.969696969696997</v>
      </c>
      <c r="C88" s="3">
        <v>174696.96969696999</v>
      </c>
      <c r="D88" s="3">
        <v>67393.333333333401</v>
      </c>
      <c r="E88" s="3">
        <v>86.878787878787904</v>
      </c>
      <c r="F88" s="4" t="s">
        <v>9</v>
      </c>
    </row>
    <row r="89" spans="1:6" ht="15" thickBot="1" x14ac:dyDescent="0.35">
      <c r="A89" s="3" t="s">
        <v>97</v>
      </c>
      <c r="B89" s="3">
        <v>69.400000000000006</v>
      </c>
      <c r="C89" s="3">
        <v>176000</v>
      </c>
      <c r="D89" s="3">
        <v>68170</v>
      </c>
      <c r="E89" s="3">
        <v>87.800000000000097</v>
      </c>
      <c r="F89" s="4" t="s">
        <v>14</v>
      </c>
    </row>
    <row r="90" spans="1:6" ht="15" thickBot="1" x14ac:dyDescent="0.35">
      <c r="A90" s="3" t="s">
        <v>98</v>
      </c>
      <c r="B90" s="3">
        <v>69.830303030303099</v>
      </c>
      <c r="C90" s="3">
        <v>177303.030303031</v>
      </c>
      <c r="D90" s="3">
        <v>68946.666666666701</v>
      </c>
      <c r="E90" s="3">
        <v>88.721212121212204</v>
      </c>
      <c r="F90" s="4" t="s">
        <v>12</v>
      </c>
    </row>
    <row r="91" spans="1:6" ht="15" thickBot="1" x14ac:dyDescent="0.35">
      <c r="A91" s="3" t="s">
        <v>99</v>
      </c>
      <c r="B91" s="3">
        <v>70.260606060606094</v>
      </c>
      <c r="C91" s="3">
        <v>178606.06060606099</v>
      </c>
      <c r="D91" s="3">
        <v>69723.333333333401</v>
      </c>
      <c r="E91" s="3">
        <v>89.642424242424298</v>
      </c>
      <c r="F91" s="4" t="s">
        <v>7</v>
      </c>
    </row>
    <row r="92" spans="1:6" ht="15" thickBot="1" x14ac:dyDescent="0.35">
      <c r="A92" s="3" t="s">
        <v>100</v>
      </c>
      <c r="B92" s="3">
        <v>70.690909090909102</v>
      </c>
      <c r="C92" s="3">
        <v>179909.090909091</v>
      </c>
      <c r="D92" s="3">
        <v>70500</v>
      </c>
      <c r="E92" s="3">
        <v>90.563636363636405</v>
      </c>
      <c r="F92" s="4" t="s">
        <v>7</v>
      </c>
    </row>
    <row r="93" spans="1:6" ht="15" thickBot="1" x14ac:dyDescent="0.35">
      <c r="A93" s="3" t="s">
        <v>101</v>
      </c>
      <c r="B93" s="3">
        <v>71.121212121212196</v>
      </c>
      <c r="C93" s="3">
        <v>181212.121212122</v>
      </c>
      <c r="D93" s="3">
        <v>71276.666666666701</v>
      </c>
      <c r="E93" s="3">
        <v>91.484848484848499</v>
      </c>
      <c r="F93" s="4" t="s">
        <v>9</v>
      </c>
    </row>
    <row r="94" spans="1:6" ht="15" thickBot="1" x14ac:dyDescent="0.35">
      <c r="A94" s="3" t="s">
        <v>102</v>
      </c>
      <c r="B94" s="3">
        <v>71.551515151515204</v>
      </c>
      <c r="C94" s="3">
        <v>182515.15151515201</v>
      </c>
      <c r="D94" s="3">
        <v>72053.333333333401</v>
      </c>
      <c r="E94" s="3">
        <v>92.406060606060706</v>
      </c>
      <c r="F94" s="4" t="s">
        <v>7</v>
      </c>
    </row>
    <row r="95" spans="1:6" ht="15" thickBot="1" x14ac:dyDescent="0.35">
      <c r="A95" s="3" t="s">
        <v>103</v>
      </c>
      <c r="B95" s="3">
        <v>71.981818181818198</v>
      </c>
      <c r="C95" s="3">
        <v>183818.181818182</v>
      </c>
      <c r="D95" s="3">
        <v>72830</v>
      </c>
      <c r="E95" s="3">
        <v>93.327272727272799</v>
      </c>
      <c r="F95" s="4" t="s">
        <v>12</v>
      </c>
    </row>
    <row r="96" spans="1:6" ht="15" thickBot="1" x14ac:dyDescent="0.35">
      <c r="A96" s="3" t="s">
        <v>104</v>
      </c>
      <c r="B96" s="3">
        <v>72.412121212121207</v>
      </c>
      <c r="C96" s="3">
        <v>185121.21212121201</v>
      </c>
      <c r="D96" s="3">
        <v>73606.666666666701</v>
      </c>
      <c r="E96" s="3">
        <v>94.248484848484793</v>
      </c>
      <c r="F96" s="4" t="s">
        <v>14</v>
      </c>
    </row>
    <row r="97" spans="1:6" ht="15" thickBot="1" x14ac:dyDescent="0.35">
      <c r="A97" s="3" t="s">
        <v>105</v>
      </c>
      <c r="B97" s="3">
        <v>72.8424242424243</v>
      </c>
      <c r="C97" s="3">
        <v>186424.24242424301</v>
      </c>
      <c r="D97" s="3">
        <v>74383.333333333401</v>
      </c>
      <c r="E97" s="3">
        <v>95.169696969697</v>
      </c>
      <c r="F97" s="4" t="s">
        <v>7</v>
      </c>
    </row>
    <row r="98" spans="1:6" ht="15" thickBot="1" x14ac:dyDescent="0.35">
      <c r="A98" s="3" t="s">
        <v>106</v>
      </c>
      <c r="B98" s="3">
        <v>73.272727272727295</v>
      </c>
      <c r="C98" s="3">
        <v>187727.272727273</v>
      </c>
      <c r="D98" s="3">
        <v>75160</v>
      </c>
      <c r="E98" s="3">
        <v>96.090909090909093</v>
      </c>
      <c r="F98" s="4" t="s">
        <v>9</v>
      </c>
    </row>
    <row r="99" spans="1:6" ht="15" thickBot="1" x14ac:dyDescent="0.35">
      <c r="A99" s="3" t="s">
        <v>107</v>
      </c>
      <c r="B99" s="3">
        <v>73.703030303030303</v>
      </c>
      <c r="C99" s="3">
        <v>189030.30303030301</v>
      </c>
      <c r="D99" s="3">
        <v>75936.666666666701</v>
      </c>
      <c r="E99" s="3">
        <v>97.012121212121301</v>
      </c>
      <c r="F99" s="4" t="s">
        <v>14</v>
      </c>
    </row>
    <row r="100" spans="1:6" ht="15" thickBot="1" x14ac:dyDescent="0.35">
      <c r="A100" s="3" t="s">
        <v>108</v>
      </c>
      <c r="B100" s="3">
        <v>74.133333333333397</v>
      </c>
      <c r="C100" s="3">
        <v>190333.33333333401</v>
      </c>
      <c r="D100" s="3">
        <v>76713.333333333401</v>
      </c>
      <c r="E100" s="3">
        <v>97.933333333333394</v>
      </c>
      <c r="F100" s="4" t="s">
        <v>12</v>
      </c>
    </row>
    <row r="101" spans="1:6" ht="15" thickBot="1" x14ac:dyDescent="0.35">
      <c r="A101" s="3" t="s">
        <v>109</v>
      </c>
      <c r="B101" s="3">
        <v>74.563636363636405</v>
      </c>
      <c r="C101" s="3">
        <v>191636.363636364</v>
      </c>
      <c r="D101" s="3">
        <v>77490</v>
      </c>
      <c r="E101" s="3">
        <v>98.854545454545502</v>
      </c>
      <c r="F101" s="4" t="s">
        <v>7</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ABC95-8066-48D5-98C5-7E32E38BC04E}">
  <dimension ref="A1:G101"/>
  <sheetViews>
    <sheetView topLeftCell="A2" workbookViewId="0">
      <selection sqref="A1:G101"/>
    </sheetView>
  </sheetViews>
  <sheetFormatPr defaultRowHeight="14.4" x14ac:dyDescent="0.3"/>
  <cols>
    <col min="1" max="1" width="15" customWidth="1"/>
    <col min="2" max="2" width="15" style="6" bestFit="1" customWidth="1"/>
    <col min="3" max="3" width="10.44140625" bestFit="1" customWidth="1"/>
    <col min="4" max="4" width="15.109375" customWidth="1"/>
    <col min="5" max="5" width="13.33203125" customWidth="1"/>
    <col min="6" max="6" width="11.33203125" customWidth="1"/>
    <col min="7" max="7" width="12" bestFit="1" customWidth="1"/>
  </cols>
  <sheetData>
    <row r="1" spans="1:7" ht="15" thickBot="1" x14ac:dyDescent="0.35">
      <c r="A1" s="11" t="s">
        <v>0</v>
      </c>
      <c r="B1" s="12" t="s">
        <v>1</v>
      </c>
      <c r="C1" s="13" t="s">
        <v>2</v>
      </c>
      <c r="D1" s="13" t="s">
        <v>3</v>
      </c>
      <c r="E1" s="13" t="s">
        <v>4</v>
      </c>
      <c r="F1" s="14" t="s">
        <v>5</v>
      </c>
      <c r="G1" s="13" t="s">
        <v>110</v>
      </c>
    </row>
    <row r="2" spans="1:7" ht="15" thickBot="1" x14ac:dyDescent="0.35">
      <c r="A2" s="9" t="s">
        <v>6</v>
      </c>
      <c r="B2" s="5">
        <v>22</v>
      </c>
      <c r="C2" s="3">
        <v>45000</v>
      </c>
      <c r="D2" s="3">
        <v>1200</v>
      </c>
      <c r="E2" s="3">
        <v>15</v>
      </c>
      <c r="F2" s="10" t="s">
        <v>7</v>
      </c>
      <c r="G2" s="19" t="str">
        <f>IF(AND(Table1[[#This Row],[Spending ($)]]&gt;5000,Table1[[#This Row],[Frequency]]&gt;20),"Champion",IF(Table1[[#This Row],[Spending ($)]]&gt;1000,"Loyal","At Risk"))</f>
        <v>Loyal</v>
      </c>
    </row>
    <row r="3" spans="1:7" ht="15" thickBot="1" x14ac:dyDescent="0.35">
      <c r="A3" s="9" t="s">
        <v>8</v>
      </c>
      <c r="B3" s="5">
        <v>34</v>
      </c>
      <c r="C3" s="3">
        <v>85000</v>
      </c>
      <c r="D3" s="3">
        <v>500</v>
      </c>
      <c r="E3" s="3">
        <v>2</v>
      </c>
      <c r="F3" s="10" t="s">
        <v>9</v>
      </c>
      <c r="G3" s="8" t="str">
        <f>IF(AND(Table1[[#This Row],[Spending ($)]]&gt;5000,Table1[[#This Row],[Frequency]]&gt;20),"Champion",IF(Table1[[#This Row],[Spending ($)]]&gt;1000,"Loyal","At Risk"))</f>
        <v>At Risk</v>
      </c>
    </row>
    <row r="4" spans="1:7" ht="15" thickBot="1" x14ac:dyDescent="0.35">
      <c r="A4" s="9" t="s">
        <v>10</v>
      </c>
      <c r="B4" s="5">
        <v>29</v>
      </c>
      <c r="C4" s="3">
        <v>120000</v>
      </c>
      <c r="D4" s="3">
        <v>8000</v>
      </c>
      <c r="E4" s="3">
        <v>22</v>
      </c>
      <c r="F4" s="10" t="s">
        <v>7</v>
      </c>
      <c r="G4" s="8" t="str">
        <f>IF(AND(Table1[[#This Row],[Spending ($)]]&gt;5000,Table1[[#This Row],[Frequency]]&gt;20),"Champion",IF(Table1[[#This Row],[Spending ($)]]&gt;1000,"Loyal","At Risk"))</f>
        <v>Champion</v>
      </c>
    </row>
    <row r="5" spans="1:7" ht="15" thickBot="1" x14ac:dyDescent="0.35">
      <c r="A5" s="9" t="s">
        <v>11</v>
      </c>
      <c r="B5" s="5">
        <v>45</v>
      </c>
      <c r="C5" s="3">
        <v>60000</v>
      </c>
      <c r="D5" s="3">
        <v>2500</v>
      </c>
      <c r="E5" s="3">
        <v>8</v>
      </c>
      <c r="F5" s="10" t="s">
        <v>12</v>
      </c>
      <c r="G5" s="8" t="str">
        <f>IF(AND(Table1[[#This Row],[Spending ($)]]&gt;5000,Table1[[#This Row],[Frequency]]&gt;20),"Champion",IF(Table1[[#This Row],[Spending ($)]]&gt;1000,"Loyal","At Risk"))</f>
        <v>Loyal</v>
      </c>
    </row>
    <row r="6" spans="1:7" ht="15" thickBot="1" x14ac:dyDescent="0.35">
      <c r="A6" s="9" t="s">
        <v>13</v>
      </c>
      <c r="B6" s="5">
        <v>52</v>
      </c>
      <c r="C6" s="3">
        <v>30000</v>
      </c>
      <c r="D6" s="3">
        <v>100</v>
      </c>
      <c r="E6" s="3">
        <v>1</v>
      </c>
      <c r="F6" s="10" t="s">
        <v>14</v>
      </c>
      <c r="G6" s="8" t="str">
        <f>IF(AND(Table1[[#This Row],[Spending ($)]]&gt;5000,Table1[[#This Row],[Frequency]]&gt;20),"Champion",IF(Table1[[#This Row],[Spending ($)]]&gt;1000,"Loyal","At Risk"))</f>
        <v>At Risk</v>
      </c>
    </row>
    <row r="7" spans="1:7" ht="15" thickBot="1" x14ac:dyDescent="0.35">
      <c r="A7" s="9" t="s">
        <v>15</v>
      </c>
      <c r="B7" s="5">
        <v>21</v>
      </c>
      <c r="C7" s="3">
        <v>15000</v>
      </c>
      <c r="D7" s="3">
        <v>50</v>
      </c>
      <c r="E7" s="3">
        <v>1</v>
      </c>
      <c r="F7" s="10" t="s">
        <v>7</v>
      </c>
      <c r="G7" s="8" t="str">
        <f>IF(AND(Table1[[#This Row],[Spending ($)]]&gt;5000,Table1[[#This Row],[Frequency]]&gt;20),"Champion",IF(Table1[[#This Row],[Spending ($)]]&gt;1000,"Loyal","At Risk"))</f>
        <v>At Risk</v>
      </c>
    </row>
    <row r="8" spans="1:7" ht="15" thickBot="1" x14ac:dyDescent="0.35">
      <c r="A8" s="9" t="s">
        <v>16</v>
      </c>
      <c r="B8" s="5">
        <v>38</v>
      </c>
      <c r="C8" s="3">
        <v>95000</v>
      </c>
      <c r="D8" s="3">
        <v>9500</v>
      </c>
      <c r="E8" s="3">
        <v>25</v>
      </c>
      <c r="F8" s="10" t="s">
        <v>9</v>
      </c>
      <c r="G8" s="8" t="str">
        <f>IF(AND(Table1[[#This Row],[Spending ($)]]&gt;5000,Table1[[#This Row],[Frequency]]&gt;20),"Champion",IF(Table1[[#This Row],[Spending ($)]]&gt;1000,"Loyal","At Risk"))</f>
        <v>Champion</v>
      </c>
    </row>
    <row r="9" spans="1:7" ht="15" thickBot="1" x14ac:dyDescent="0.35">
      <c r="A9" s="9" t="s">
        <v>17</v>
      </c>
      <c r="B9" s="5">
        <v>31</v>
      </c>
      <c r="C9" s="3">
        <v>70000</v>
      </c>
      <c r="D9" s="3">
        <v>1100</v>
      </c>
      <c r="E9" s="3">
        <v>4</v>
      </c>
      <c r="F9" s="10" t="s">
        <v>14</v>
      </c>
      <c r="G9" s="8" t="str">
        <f>IF(AND(Table1[[#This Row],[Spending ($)]]&gt;5000,Table1[[#This Row],[Frequency]]&gt;20),"Champion",IF(Table1[[#This Row],[Spending ($)]]&gt;1000,"Loyal","At Risk"))</f>
        <v>Loyal</v>
      </c>
    </row>
    <row r="10" spans="1:7" ht="15" thickBot="1" x14ac:dyDescent="0.35">
      <c r="A10" s="9" t="s">
        <v>18</v>
      </c>
      <c r="B10" s="5">
        <v>27</v>
      </c>
      <c r="C10" s="3">
        <v>55000</v>
      </c>
      <c r="D10" s="3">
        <v>3000</v>
      </c>
      <c r="E10" s="3">
        <v>10</v>
      </c>
      <c r="F10" s="10" t="s">
        <v>12</v>
      </c>
      <c r="G10" s="8" t="str">
        <f>IF(AND(Table1[[#This Row],[Spending ($)]]&gt;5000,Table1[[#This Row],[Frequency]]&gt;20),"Champion",IF(Table1[[#This Row],[Spending ($)]]&gt;1000,"Loyal","At Risk"))</f>
        <v>Loyal</v>
      </c>
    </row>
    <row r="11" spans="1:7" ht="15" thickBot="1" x14ac:dyDescent="0.35">
      <c r="A11" s="9" t="s">
        <v>19</v>
      </c>
      <c r="B11" s="5">
        <v>40</v>
      </c>
      <c r="C11" s="3">
        <v>110000</v>
      </c>
      <c r="D11" s="3">
        <v>15000</v>
      </c>
      <c r="E11" s="3">
        <v>30</v>
      </c>
      <c r="F11" s="10" t="s">
        <v>7</v>
      </c>
      <c r="G11" s="8" t="str">
        <f>IF(AND(Table1[[#This Row],[Spending ($)]]&gt;5000,Table1[[#This Row],[Frequency]]&gt;20),"Champion",IF(Table1[[#This Row],[Spending ($)]]&gt;1000,"Loyal","At Risk"))</f>
        <v>Champion</v>
      </c>
    </row>
    <row r="12" spans="1:7" ht="15" thickBot="1" x14ac:dyDescent="0.35">
      <c r="A12" s="9" t="s">
        <v>20</v>
      </c>
      <c r="B12" s="7">
        <v>36.266666666666701</v>
      </c>
      <c r="C12" s="8">
        <v>75666.666666666599</v>
      </c>
      <c r="D12" s="8">
        <v>8366.6666666666697</v>
      </c>
      <c r="E12" s="8">
        <v>16.866666666666699</v>
      </c>
      <c r="F12" s="10" t="s">
        <v>7</v>
      </c>
      <c r="G12" s="8" t="str">
        <f>IF(AND(Table1[[#This Row],[Spending ($)]]&gt;5000,Table1[[#This Row],[Frequency]]&gt;20),"Champion",IF(Table1[[#This Row],[Spending ($)]]&gt;1000,"Loyal","At Risk"))</f>
        <v>Loyal</v>
      </c>
    </row>
    <row r="13" spans="1:7" ht="15" thickBot="1" x14ac:dyDescent="0.35">
      <c r="A13" s="9" t="s">
        <v>21</v>
      </c>
      <c r="B13" s="7">
        <v>36.696969696969703</v>
      </c>
      <c r="C13" s="8">
        <v>76969.696969696903</v>
      </c>
      <c r="D13" s="8">
        <v>9143.3333333333394</v>
      </c>
      <c r="E13" s="8">
        <v>17.7878787878788</v>
      </c>
      <c r="F13" s="10" t="s">
        <v>9</v>
      </c>
      <c r="G13" s="8" t="str">
        <f>IF(AND(Table1[[#This Row],[Spending ($)]]&gt;5000,Table1[[#This Row],[Frequency]]&gt;20),"Champion",IF(Table1[[#This Row],[Spending ($)]]&gt;1000,"Loyal","At Risk"))</f>
        <v>Loyal</v>
      </c>
    </row>
    <row r="14" spans="1:7" ht="15" thickBot="1" x14ac:dyDescent="0.35">
      <c r="A14" s="9" t="s">
        <v>22</v>
      </c>
      <c r="B14" s="7">
        <v>37.127272727272697</v>
      </c>
      <c r="C14" s="8">
        <v>78272.727272727207</v>
      </c>
      <c r="D14" s="8">
        <v>9920</v>
      </c>
      <c r="E14" s="8">
        <v>18.709090909091</v>
      </c>
      <c r="F14" s="10" t="s">
        <v>7</v>
      </c>
      <c r="G14" s="8" t="str">
        <f>IF(AND(Table1[[#This Row],[Spending ($)]]&gt;5000,Table1[[#This Row],[Frequency]]&gt;20),"Champion",IF(Table1[[#This Row],[Spending ($)]]&gt;1000,"Loyal","At Risk"))</f>
        <v>Loyal</v>
      </c>
    </row>
    <row r="15" spans="1:7" ht="15" thickBot="1" x14ac:dyDescent="0.35">
      <c r="A15" s="9" t="s">
        <v>23</v>
      </c>
      <c r="B15" s="7">
        <v>37.557575757575698</v>
      </c>
      <c r="C15" s="8">
        <v>79575.757575757496</v>
      </c>
      <c r="D15" s="8">
        <v>10696.666666666701</v>
      </c>
      <c r="E15" s="8">
        <v>19.6303030303031</v>
      </c>
      <c r="F15" s="10" t="s">
        <v>12</v>
      </c>
      <c r="G15" s="8" t="str">
        <f>IF(AND(Table1[[#This Row],[Spending ($)]]&gt;5000,Table1[[#This Row],[Frequency]]&gt;20),"Champion",IF(Table1[[#This Row],[Spending ($)]]&gt;1000,"Loyal","At Risk"))</f>
        <v>Loyal</v>
      </c>
    </row>
    <row r="16" spans="1:7" ht="15" thickBot="1" x14ac:dyDescent="0.35">
      <c r="A16" s="9" t="s">
        <v>24</v>
      </c>
      <c r="B16" s="7">
        <v>37.987878787878799</v>
      </c>
      <c r="C16" s="8">
        <v>80878.7878787878</v>
      </c>
      <c r="D16" s="8">
        <v>11473.333333333299</v>
      </c>
      <c r="E16" s="8">
        <v>20.551515151515201</v>
      </c>
      <c r="F16" s="10" t="s">
        <v>14</v>
      </c>
      <c r="G16" s="8" t="str">
        <f>IF(AND(Table1[[#This Row],[Spending ($)]]&gt;5000,Table1[[#This Row],[Frequency]]&gt;20),"Champion",IF(Table1[[#This Row],[Spending ($)]]&gt;1000,"Loyal","At Risk"))</f>
        <v>Champion</v>
      </c>
    </row>
    <row r="17" spans="1:7" ht="15" thickBot="1" x14ac:dyDescent="0.35">
      <c r="A17" s="9" t="s">
        <v>25</v>
      </c>
      <c r="B17" s="7">
        <v>38.4181818181818</v>
      </c>
      <c r="C17" s="8">
        <v>82181.818181818104</v>
      </c>
      <c r="D17" s="8">
        <v>12250</v>
      </c>
      <c r="E17" s="8">
        <v>21.472727272727301</v>
      </c>
      <c r="F17" s="10" t="s">
        <v>7</v>
      </c>
      <c r="G17" s="8" t="str">
        <f>IF(AND(Table1[[#This Row],[Spending ($)]]&gt;5000,Table1[[#This Row],[Frequency]]&gt;20),"Champion",IF(Table1[[#This Row],[Spending ($)]]&gt;1000,"Loyal","At Risk"))</f>
        <v>Champion</v>
      </c>
    </row>
    <row r="18" spans="1:7" ht="15" thickBot="1" x14ac:dyDescent="0.35">
      <c r="A18" s="9" t="s">
        <v>26</v>
      </c>
      <c r="B18" s="7">
        <v>38.848484848484802</v>
      </c>
      <c r="C18" s="8">
        <v>83484.848484848393</v>
      </c>
      <c r="D18" s="8">
        <v>13026.666666666701</v>
      </c>
      <c r="E18" s="8">
        <v>22.393939393939402</v>
      </c>
      <c r="F18" s="10" t="s">
        <v>9</v>
      </c>
      <c r="G18" s="8" t="str">
        <f>IF(AND(Table1[[#This Row],[Spending ($)]]&gt;5000,Table1[[#This Row],[Frequency]]&gt;20),"Champion",IF(Table1[[#This Row],[Spending ($)]]&gt;1000,"Loyal","At Risk"))</f>
        <v>Champion</v>
      </c>
    </row>
    <row r="19" spans="1:7" ht="15" thickBot="1" x14ac:dyDescent="0.35">
      <c r="A19" s="9" t="s">
        <v>27</v>
      </c>
      <c r="B19" s="7">
        <v>39.278787878787902</v>
      </c>
      <c r="C19" s="8">
        <v>84787.878787878799</v>
      </c>
      <c r="D19" s="8">
        <v>13803.333333333299</v>
      </c>
      <c r="E19" s="8">
        <v>23.315151515151602</v>
      </c>
      <c r="F19" s="10" t="s">
        <v>14</v>
      </c>
      <c r="G19" s="8" t="str">
        <f>IF(AND(Table1[[#This Row],[Spending ($)]]&gt;5000,Table1[[#This Row],[Frequency]]&gt;20),"Champion",IF(Table1[[#This Row],[Spending ($)]]&gt;1000,"Loyal","At Risk"))</f>
        <v>Champion</v>
      </c>
    </row>
    <row r="20" spans="1:7" ht="15" thickBot="1" x14ac:dyDescent="0.35">
      <c r="A20" s="9" t="s">
        <v>28</v>
      </c>
      <c r="B20" s="7">
        <v>39.709090909090897</v>
      </c>
      <c r="C20" s="8">
        <v>86090.909090909103</v>
      </c>
      <c r="D20" s="8">
        <v>14580</v>
      </c>
      <c r="E20" s="8">
        <v>24.236363636363699</v>
      </c>
      <c r="F20" s="10" t="s">
        <v>12</v>
      </c>
      <c r="G20" s="8" t="str">
        <f>IF(AND(Table1[[#This Row],[Spending ($)]]&gt;5000,Table1[[#This Row],[Frequency]]&gt;20),"Champion",IF(Table1[[#This Row],[Spending ($)]]&gt;1000,"Loyal","At Risk"))</f>
        <v>Champion</v>
      </c>
    </row>
    <row r="21" spans="1:7" ht="15" thickBot="1" x14ac:dyDescent="0.35">
      <c r="A21" s="9" t="s">
        <v>29</v>
      </c>
      <c r="B21" s="7">
        <v>40.139393939393898</v>
      </c>
      <c r="C21" s="8">
        <v>87393.939393939407</v>
      </c>
      <c r="D21" s="8">
        <v>15356.666666666701</v>
      </c>
      <c r="E21" s="8">
        <v>25.157575757575799</v>
      </c>
      <c r="F21" s="10" t="s">
        <v>7</v>
      </c>
      <c r="G21" s="8" t="str">
        <f>IF(AND(Table1[[#This Row],[Spending ($)]]&gt;5000,Table1[[#This Row],[Frequency]]&gt;20),"Champion",IF(Table1[[#This Row],[Spending ($)]]&gt;1000,"Loyal","At Risk"))</f>
        <v>Champion</v>
      </c>
    </row>
    <row r="22" spans="1:7" ht="15" thickBot="1" x14ac:dyDescent="0.35">
      <c r="A22" s="9" t="s">
        <v>30</v>
      </c>
      <c r="B22" s="7">
        <v>40.569696969696999</v>
      </c>
      <c r="C22" s="8">
        <v>88696.969696969696</v>
      </c>
      <c r="D22" s="8">
        <v>16133.333333333299</v>
      </c>
      <c r="E22" s="8">
        <v>26.0787878787879</v>
      </c>
      <c r="F22" s="10" t="s">
        <v>7</v>
      </c>
      <c r="G22" s="8" t="str">
        <f>IF(AND(Table1[[#This Row],[Spending ($)]]&gt;5000,Table1[[#This Row],[Frequency]]&gt;20),"Champion",IF(Table1[[#This Row],[Spending ($)]]&gt;1000,"Loyal","At Risk"))</f>
        <v>Champion</v>
      </c>
    </row>
    <row r="23" spans="1:7" ht="15" thickBot="1" x14ac:dyDescent="0.35">
      <c r="A23" s="9" t="s">
        <v>31</v>
      </c>
      <c r="B23" s="5">
        <v>41</v>
      </c>
      <c r="C23" s="8">
        <v>90000</v>
      </c>
      <c r="D23" s="8">
        <v>16910</v>
      </c>
      <c r="E23" s="8">
        <v>27</v>
      </c>
      <c r="F23" s="10" t="s">
        <v>9</v>
      </c>
      <c r="G23" s="8" t="str">
        <f>IF(AND(Table1[[#This Row],[Spending ($)]]&gt;5000,Table1[[#This Row],[Frequency]]&gt;20),"Champion",IF(Table1[[#This Row],[Spending ($)]]&gt;1000,"Loyal","At Risk"))</f>
        <v>Champion</v>
      </c>
    </row>
    <row r="24" spans="1:7" ht="15" thickBot="1" x14ac:dyDescent="0.35">
      <c r="A24" s="9" t="s">
        <v>32</v>
      </c>
      <c r="B24" s="7">
        <v>41.430303030303001</v>
      </c>
      <c r="C24" s="8">
        <v>91303.030303030304</v>
      </c>
      <c r="D24" s="8">
        <v>17686.666666666701</v>
      </c>
      <c r="E24" s="8">
        <v>27.9212121212122</v>
      </c>
      <c r="F24" s="10" t="s">
        <v>7</v>
      </c>
      <c r="G24" s="8" t="str">
        <f>IF(AND(Table1[[#This Row],[Spending ($)]]&gt;5000,Table1[[#This Row],[Frequency]]&gt;20),"Champion",IF(Table1[[#This Row],[Spending ($)]]&gt;1000,"Loyal","At Risk"))</f>
        <v>Champion</v>
      </c>
    </row>
    <row r="25" spans="1:7" ht="15" thickBot="1" x14ac:dyDescent="0.35">
      <c r="A25" s="9" t="s">
        <v>33</v>
      </c>
      <c r="B25" s="7">
        <v>41.860606060606102</v>
      </c>
      <c r="C25" s="8">
        <v>92606.060606060593</v>
      </c>
      <c r="D25" s="8">
        <v>18463.333333333299</v>
      </c>
      <c r="E25" s="8">
        <v>28.8424242424243</v>
      </c>
      <c r="F25" s="10" t="s">
        <v>12</v>
      </c>
      <c r="G25" s="8" t="str">
        <f>IF(AND(Table1[[#This Row],[Spending ($)]]&gt;5000,Table1[[#This Row],[Frequency]]&gt;20),"Champion",IF(Table1[[#This Row],[Spending ($)]]&gt;1000,"Loyal","At Risk"))</f>
        <v>Champion</v>
      </c>
    </row>
    <row r="26" spans="1:7" ht="15" thickBot="1" x14ac:dyDescent="0.35">
      <c r="A26" s="9" t="s">
        <v>34</v>
      </c>
      <c r="B26" s="7">
        <v>42.290909090909103</v>
      </c>
      <c r="C26" s="8">
        <v>93909.090909090897</v>
      </c>
      <c r="D26" s="8">
        <v>19240</v>
      </c>
      <c r="E26" s="8">
        <v>29.763636363636401</v>
      </c>
      <c r="F26" s="10" t="s">
        <v>14</v>
      </c>
      <c r="G26" s="8" t="str">
        <f>IF(AND(Table1[[#This Row],[Spending ($)]]&gt;5000,Table1[[#This Row],[Frequency]]&gt;20),"Champion",IF(Table1[[#This Row],[Spending ($)]]&gt;1000,"Loyal","At Risk"))</f>
        <v>Champion</v>
      </c>
    </row>
    <row r="27" spans="1:7" ht="15" thickBot="1" x14ac:dyDescent="0.35">
      <c r="A27" s="9" t="s">
        <v>35</v>
      </c>
      <c r="B27" s="7">
        <v>42.721212121212197</v>
      </c>
      <c r="C27" s="8">
        <v>95212.121212121201</v>
      </c>
      <c r="D27" s="8">
        <v>20016.666666666701</v>
      </c>
      <c r="E27" s="8">
        <v>30.684848484848501</v>
      </c>
      <c r="F27" s="10" t="s">
        <v>7</v>
      </c>
      <c r="G27" s="8" t="str">
        <f>IF(AND(Table1[[#This Row],[Spending ($)]]&gt;5000,Table1[[#This Row],[Frequency]]&gt;20),"Champion",IF(Table1[[#This Row],[Spending ($)]]&gt;1000,"Loyal","At Risk"))</f>
        <v>Champion</v>
      </c>
    </row>
    <row r="28" spans="1:7" ht="15" thickBot="1" x14ac:dyDescent="0.35">
      <c r="A28" s="9" t="s">
        <v>36</v>
      </c>
      <c r="B28" s="7">
        <v>43.151515151515198</v>
      </c>
      <c r="C28" s="8">
        <v>96515.151515151505</v>
      </c>
      <c r="D28" s="8">
        <v>20793.333333333299</v>
      </c>
      <c r="E28" s="8">
        <v>31.606060606060701</v>
      </c>
      <c r="F28" s="10" t="s">
        <v>9</v>
      </c>
      <c r="G28" s="8" t="str">
        <f>IF(AND(Table1[[#This Row],[Spending ($)]]&gt;5000,Table1[[#This Row],[Frequency]]&gt;20),"Champion",IF(Table1[[#This Row],[Spending ($)]]&gt;1000,"Loyal","At Risk"))</f>
        <v>Champion</v>
      </c>
    </row>
    <row r="29" spans="1:7" ht="15" thickBot="1" x14ac:dyDescent="0.35">
      <c r="A29" s="9" t="s">
        <v>37</v>
      </c>
      <c r="B29" s="7">
        <v>43.5818181818182</v>
      </c>
      <c r="C29" s="8">
        <v>97818.181818181794</v>
      </c>
      <c r="D29" s="8">
        <v>21570</v>
      </c>
      <c r="E29" s="8">
        <v>32.527272727272802</v>
      </c>
      <c r="F29" s="10" t="s">
        <v>14</v>
      </c>
      <c r="G29" s="8" t="str">
        <f>IF(AND(Table1[[#This Row],[Spending ($)]]&gt;5000,Table1[[#This Row],[Frequency]]&gt;20),"Champion",IF(Table1[[#This Row],[Spending ($)]]&gt;1000,"Loyal","At Risk"))</f>
        <v>Champion</v>
      </c>
    </row>
    <row r="30" spans="1:7" ht="15" thickBot="1" x14ac:dyDescent="0.35">
      <c r="A30" s="9" t="s">
        <v>38</v>
      </c>
      <c r="B30" s="7">
        <v>44.012121212121201</v>
      </c>
      <c r="C30" s="8">
        <v>99121.212121212098</v>
      </c>
      <c r="D30" s="8">
        <v>22346.666666666701</v>
      </c>
      <c r="E30" s="8">
        <v>33.448484848484902</v>
      </c>
      <c r="F30" s="10" t="s">
        <v>12</v>
      </c>
      <c r="G30" s="8" t="str">
        <f>IF(AND(Table1[[#This Row],[Spending ($)]]&gt;5000,Table1[[#This Row],[Frequency]]&gt;20),"Champion",IF(Table1[[#This Row],[Spending ($)]]&gt;1000,"Loyal","At Risk"))</f>
        <v>Champion</v>
      </c>
    </row>
    <row r="31" spans="1:7" ht="15" thickBot="1" x14ac:dyDescent="0.35">
      <c r="A31" s="9" t="s">
        <v>39</v>
      </c>
      <c r="B31" s="7">
        <v>44.442424242424302</v>
      </c>
      <c r="C31" s="8">
        <v>100424.24242424199</v>
      </c>
      <c r="D31" s="8">
        <v>23123.333333333299</v>
      </c>
      <c r="E31" s="8">
        <v>34.369696969697003</v>
      </c>
      <c r="F31" s="10" t="s">
        <v>7</v>
      </c>
      <c r="G31" s="8" t="str">
        <f>IF(AND(Table1[[#This Row],[Spending ($)]]&gt;5000,Table1[[#This Row],[Frequency]]&gt;20),"Champion",IF(Table1[[#This Row],[Spending ($)]]&gt;1000,"Loyal","At Risk"))</f>
        <v>Champion</v>
      </c>
    </row>
    <row r="32" spans="1:7" ht="15" thickBot="1" x14ac:dyDescent="0.35">
      <c r="A32" s="9" t="s">
        <v>40</v>
      </c>
      <c r="B32" s="7">
        <v>44.872727272727303</v>
      </c>
      <c r="C32" s="8">
        <v>101727.272727273</v>
      </c>
      <c r="D32" s="8">
        <v>23900</v>
      </c>
      <c r="E32" s="8">
        <v>35.290909090909103</v>
      </c>
      <c r="F32" s="10" t="s">
        <v>7</v>
      </c>
      <c r="G32" s="8" t="str">
        <f>IF(AND(Table1[[#This Row],[Spending ($)]]&gt;5000,Table1[[#This Row],[Frequency]]&gt;20),"Champion",IF(Table1[[#This Row],[Spending ($)]]&gt;1000,"Loyal","At Risk"))</f>
        <v>Champion</v>
      </c>
    </row>
    <row r="33" spans="1:7" ht="15" thickBot="1" x14ac:dyDescent="0.35">
      <c r="A33" s="9" t="s">
        <v>41</v>
      </c>
      <c r="B33" s="7">
        <v>45.303030303030297</v>
      </c>
      <c r="C33" s="8">
        <v>103030.303030303</v>
      </c>
      <c r="D33" s="8">
        <v>24676.666666666701</v>
      </c>
      <c r="E33" s="8">
        <v>36.212121212121303</v>
      </c>
      <c r="F33" s="10" t="s">
        <v>9</v>
      </c>
      <c r="G33" s="8" t="str">
        <f>IF(AND(Table1[[#This Row],[Spending ($)]]&gt;5000,Table1[[#This Row],[Frequency]]&gt;20),"Champion",IF(Table1[[#This Row],[Spending ($)]]&gt;1000,"Loyal","At Risk"))</f>
        <v>Champion</v>
      </c>
    </row>
    <row r="34" spans="1:7" ht="15" thickBot="1" x14ac:dyDescent="0.35">
      <c r="A34" s="9" t="s">
        <v>42</v>
      </c>
      <c r="B34" s="7">
        <v>45.733333333333398</v>
      </c>
      <c r="C34" s="8">
        <v>104333.33333333299</v>
      </c>
      <c r="D34" s="8">
        <v>25453.333333333299</v>
      </c>
      <c r="E34" s="8">
        <v>37.133333333333397</v>
      </c>
      <c r="F34" s="10" t="s">
        <v>7</v>
      </c>
      <c r="G34" s="8" t="str">
        <f>IF(AND(Table1[[#This Row],[Spending ($)]]&gt;5000,Table1[[#This Row],[Frequency]]&gt;20),"Champion",IF(Table1[[#This Row],[Spending ($)]]&gt;1000,"Loyal","At Risk"))</f>
        <v>Champion</v>
      </c>
    </row>
    <row r="35" spans="1:7" ht="15" thickBot="1" x14ac:dyDescent="0.35">
      <c r="A35" s="9" t="s">
        <v>43</v>
      </c>
      <c r="B35" s="7">
        <v>46.1636363636364</v>
      </c>
      <c r="C35" s="8">
        <v>105636.363636364</v>
      </c>
      <c r="D35" s="8">
        <v>26230</v>
      </c>
      <c r="E35" s="8">
        <v>38.054545454545497</v>
      </c>
      <c r="F35" s="10" t="s">
        <v>12</v>
      </c>
      <c r="G35" s="8" t="str">
        <f>IF(AND(Table1[[#This Row],[Spending ($)]]&gt;5000,Table1[[#This Row],[Frequency]]&gt;20),"Champion",IF(Table1[[#This Row],[Spending ($)]]&gt;1000,"Loyal","At Risk"))</f>
        <v>Champion</v>
      </c>
    </row>
    <row r="36" spans="1:7" ht="15" thickBot="1" x14ac:dyDescent="0.35">
      <c r="A36" s="9" t="s">
        <v>44</v>
      </c>
      <c r="B36" s="7">
        <v>46.593939393939401</v>
      </c>
      <c r="C36" s="8">
        <v>106939.39393939399</v>
      </c>
      <c r="D36" s="8">
        <v>27006.666666666701</v>
      </c>
      <c r="E36" s="8">
        <v>38.975757575757598</v>
      </c>
      <c r="F36" s="10" t="s">
        <v>14</v>
      </c>
      <c r="G36" s="8" t="str">
        <f>IF(AND(Table1[[#This Row],[Spending ($)]]&gt;5000,Table1[[#This Row],[Frequency]]&gt;20),"Champion",IF(Table1[[#This Row],[Spending ($)]]&gt;1000,"Loyal","At Risk"))</f>
        <v>Champion</v>
      </c>
    </row>
    <row r="37" spans="1:7" ht="15" thickBot="1" x14ac:dyDescent="0.35">
      <c r="A37" s="9" t="s">
        <v>45</v>
      </c>
      <c r="B37" s="7">
        <v>47.024242424242502</v>
      </c>
      <c r="C37" s="8">
        <v>108242.42424242399</v>
      </c>
      <c r="D37" s="8">
        <v>27783.333333333299</v>
      </c>
      <c r="E37" s="8">
        <v>39.896969696969698</v>
      </c>
      <c r="F37" s="10" t="s">
        <v>7</v>
      </c>
      <c r="G37" s="8" t="str">
        <f>IF(AND(Table1[[#This Row],[Spending ($)]]&gt;5000,Table1[[#This Row],[Frequency]]&gt;20),"Champion",IF(Table1[[#This Row],[Spending ($)]]&gt;1000,"Loyal","At Risk"))</f>
        <v>Champion</v>
      </c>
    </row>
    <row r="38" spans="1:7" ht="15" thickBot="1" x14ac:dyDescent="0.35">
      <c r="A38" s="9" t="s">
        <v>46</v>
      </c>
      <c r="B38" s="7">
        <v>47.454545454545503</v>
      </c>
      <c r="C38" s="8">
        <v>109545.454545455</v>
      </c>
      <c r="D38" s="8">
        <v>28560</v>
      </c>
      <c r="E38" s="8">
        <v>40.818181818181898</v>
      </c>
      <c r="F38" s="10" t="s">
        <v>9</v>
      </c>
      <c r="G38" s="8" t="str">
        <f>IF(AND(Table1[[#This Row],[Spending ($)]]&gt;5000,Table1[[#This Row],[Frequency]]&gt;20),"Champion",IF(Table1[[#This Row],[Spending ($)]]&gt;1000,"Loyal","At Risk"))</f>
        <v>Champion</v>
      </c>
    </row>
    <row r="39" spans="1:7" ht="15" thickBot="1" x14ac:dyDescent="0.35">
      <c r="A39" s="9" t="s">
        <v>47</v>
      </c>
      <c r="B39" s="7">
        <v>47.884848484848497</v>
      </c>
      <c r="C39" s="8">
        <v>110848.48484848499</v>
      </c>
      <c r="D39" s="8">
        <v>29336.666666666701</v>
      </c>
      <c r="E39" s="8">
        <v>41.739393939393999</v>
      </c>
      <c r="F39" s="10" t="s">
        <v>14</v>
      </c>
      <c r="G39" s="8" t="str">
        <f>IF(AND(Table1[[#This Row],[Spending ($)]]&gt;5000,Table1[[#This Row],[Frequency]]&gt;20),"Champion",IF(Table1[[#This Row],[Spending ($)]]&gt;1000,"Loyal","At Risk"))</f>
        <v>Champion</v>
      </c>
    </row>
    <row r="40" spans="1:7" ht="15" thickBot="1" x14ac:dyDescent="0.35">
      <c r="A40" s="9" t="s">
        <v>48</v>
      </c>
      <c r="B40" s="7">
        <v>48.315151515151598</v>
      </c>
      <c r="C40" s="8">
        <v>112151.51515151501</v>
      </c>
      <c r="D40" s="8">
        <v>30113.333333333299</v>
      </c>
      <c r="E40" s="8">
        <v>42.660606060606099</v>
      </c>
      <c r="F40" s="10" t="s">
        <v>12</v>
      </c>
      <c r="G40" s="8" t="str">
        <f>IF(AND(Table1[[#This Row],[Spending ($)]]&gt;5000,Table1[[#This Row],[Frequency]]&gt;20),"Champion",IF(Table1[[#This Row],[Spending ($)]]&gt;1000,"Loyal","At Risk"))</f>
        <v>Champion</v>
      </c>
    </row>
    <row r="41" spans="1:7" ht="15" thickBot="1" x14ac:dyDescent="0.35">
      <c r="A41" s="9" t="s">
        <v>49</v>
      </c>
      <c r="B41" s="7">
        <v>48.745454545454599</v>
      </c>
      <c r="C41" s="8">
        <v>113454.545454545</v>
      </c>
      <c r="D41" s="8">
        <v>30890</v>
      </c>
      <c r="E41" s="8">
        <v>43.5818181818182</v>
      </c>
      <c r="F41" s="10" t="s">
        <v>7</v>
      </c>
      <c r="G41" s="8" t="str">
        <f>IF(AND(Table1[[#This Row],[Spending ($)]]&gt;5000,Table1[[#This Row],[Frequency]]&gt;20),"Champion",IF(Table1[[#This Row],[Spending ($)]]&gt;1000,"Loyal","At Risk"))</f>
        <v>Champion</v>
      </c>
    </row>
    <row r="42" spans="1:7" ht="15" thickBot="1" x14ac:dyDescent="0.35">
      <c r="A42" s="9" t="s">
        <v>50</v>
      </c>
      <c r="B42" s="7">
        <v>49.175757575757601</v>
      </c>
      <c r="C42" s="8">
        <v>114757.57575757601</v>
      </c>
      <c r="D42" s="8">
        <v>31666.666666666701</v>
      </c>
      <c r="E42" s="8">
        <v>44.5030303030304</v>
      </c>
      <c r="F42" s="10" t="s">
        <v>7</v>
      </c>
      <c r="G42" s="8" t="str">
        <f>IF(AND(Table1[[#This Row],[Spending ($)]]&gt;5000,Table1[[#This Row],[Frequency]]&gt;20),"Champion",IF(Table1[[#This Row],[Spending ($)]]&gt;1000,"Loyal","At Risk"))</f>
        <v>Champion</v>
      </c>
    </row>
    <row r="43" spans="1:7" ht="15" thickBot="1" x14ac:dyDescent="0.35">
      <c r="A43" s="9" t="s">
        <v>51</v>
      </c>
      <c r="B43" s="7">
        <v>49.606060606060602</v>
      </c>
      <c r="C43" s="8">
        <v>116060.60606060601</v>
      </c>
      <c r="D43" s="8">
        <v>32443.333333333299</v>
      </c>
      <c r="E43" s="8">
        <v>45.4242424242425</v>
      </c>
      <c r="F43" s="10" t="s">
        <v>9</v>
      </c>
      <c r="G43" s="8" t="str">
        <f>IF(AND(Table1[[#This Row],[Spending ($)]]&gt;5000,Table1[[#This Row],[Frequency]]&gt;20),"Champion",IF(Table1[[#This Row],[Spending ($)]]&gt;1000,"Loyal","At Risk"))</f>
        <v>Champion</v>
      </c>
    </row>
    <row r="44" spans="1:7" ht="15" thickBot="1" x14ac:dyDescent="0.35">
      <c r="A44" s="9" t="s">
        <v>52</v>
      </c>
      <c r="B44" s="7">
        <v>50.036363636363703</v>
      </c>
      <c r="C44" s="8">
        <v>117363.636363636</v>
      </c>
      <c r="D44" s="8">
        <v>33220</v>
      </c>
      <c r="E44" s="8">
        <v>46.345454545454601</v>
      </c>
      <c r="F44" s="10" t="s">
        <v>7</v>
      </c>
      <c r="G44" s="8" t="str">
        <f>IF(AND(Table1[[#This Row],[Spending ($)]]&gt;5000,Table1[[#This Row],[Frequency]]&gt;20),"Champion",IF(Table1[[#This Row],[Spending ($)]]&gt;1000,"Loyal","At Risk"))</f>
        <v>Champion</v>
      </c>
    </row>
    <row r="45" spans="1:7" ht="15" thickBot="1" x14ac:dyDescent="0.35">
      <c r="A45" s="9" t="s">
        <v>53</v>
      </c>
      <c r="B45" s="7">
        <v>50.466666666666697</v>
      </c>
      <c r="C45" s="8">
        <v>118666.66666666701</v>
      </c>
      <c r="D45" s="8">
        <v>33996.666666666701</v>
      </c>
      <c r="E45" s="8">
        <v>47.266666666666701</v>
      </c>
      <c r="F45" s="10" t="s">
        <v>12</v>
      </c>
      <c r="G45" s="8" t="str">
        <f>IF(AND(Table1[[#This Row],[Spending ($)]]&gt;5000,Table1[[#This Row],[Frequency]]&gt;20),"Champion",IF(Table1[[#This Row],[Spending ($)]]&gt;1000,"Loyal","At Risk"))</f>
        <v>Champion</v>
      </c>
    </row>
    <row r="46" spans="1:7" ht="15" thickBot="1" x14ac:dyDescent="0.35">
      <c r="A46" s="9" t="s">
        <v>54</v>
      </c>
      <c r="B46" s="7">
        <v>50.896969696969698</v>
      </c>
      <c r="C46" s="8">
        <v>119969.696969697</v>
      </c>
      <c r="D46" s="8">
        <v>34773.333333333299</v>
      </c>
      <c r="E46" s="8">
        <v>48.187878787878802</v>
      </c>
      <c r="F46" s="10" t="s">
        <v>14</v>
      </c>
      <c r="G46" s="8" t="str">
        <f>IF(AND(Table1[[#This Row],[Spending ($)]]&gt;5000,Table1[[#This Row],[Frequency]]&gt;20),"Champion",IF(Table1[[#This Row],[Spending ($)]]&gt;1000,"Loyal","At Risk"))</f>
        <v>Champion</v>
      </c>
    </row>
    <row r="47" spans="1:7" ht="15" thickBot="1" x14ac:dyDescent="0.35">
      <c r="A47" s="9" t="s">
        <v>55</v>
      </c>
      <c r="B47" s="7">
        <v>51.327272727272799</v>
      </c>
      <c r="C47" s="8">
        <v>121272.727272727</v>
      </c>
      <c r="D47" s="8">
        <v>35550</v>
      </c>
      <c r="E47" s="8">
        <v>49.109090909091002</v>
      </c>
      <c r="F47" s="10" t="s">
        <v>7</v>
      </c>
      <c r="G47" s="8" t="str">
        <f>IF(AND(Table1[[#This Row],[Spending ($)]]&gt;5000,Table1[[#This Row],[Frequency]]&gt;20),"Champion",IF(Table1[[#This Row],[Spending ($)]]&gt;1000,"Loyal","At Risk"))</f>
        <v>Champion</v>
      </c>
    </row>
    <row r="48" spans="1:7" ht="15" thickBot="1" x14ac:dyDescent="0.35">
      <c r="A48" s="9" t="s">
        <v>56</v>
      </c>
      <c r="B48" s="7">
        <v>51.7575757575758</v>
      </c>
      <c r="C48" s="8">
        <v>122575.75757575801</v>
      </c>
      <c r="D48" s="8">
        <v>36326.666666666701</v>
      </c>
      <c r="E48" s="8">
        <v>50.030303030303102</v>
      </c>
      <c r="F48" s="10" t="s">
        <v>9</v>
      </c>
      <c r="G48" s="8" t="str">
        <f>IF(AND(Table1[[#This Row],[Spending ($)]]&gt;5000,Table1[[#This Row],[Frequency]]&gt;20),"Champion",IF(Table1[[#This Row],[Spending ($)]]&gt;1000,"Loyal","At Risk"))</f>
        <v>Champion</v>
      </c>
    </row>
    <row r="49" spans="1:7" ht="15" thickBot="1" x14ac:dyDescent="0.35">
      <c r="A49" s="9" t="s">
        <v>57</v>
      </c>
      <c r="B49" s="7">
        <v>52.187878787878802</v>
      </c>
      <c r="C49" s="8">
        <v>123878.787878788</v>
      </c>
      <c r="D49" s="8">
        <v>37103.333333333401</v>
      </c>
      <c r="E49" s="8">
        <v>50.951515151515203</v>
      </c>
      <c r="F49" s="10" t="s">
        <v>14</v>
      </c>
      <c r="G49" s="8" t="str">
        <f>IF(AND(Table1[[#This Row],[Spending ($)]]&gt;5000,Table1[[#This Row],[Frequency]]&gt;20),"Champion",IF(Table1[[#This Row],[Spending ($)]]&gt;1000,"Loyal","At Risk"))</f>
        <v>Champion</v>
      </c>
    </row>
    <row r="50" spans="1:7" ht="15" thickBot="1" x14ac:dyDescent="0.35">
      <c r="A50" s="9" t="s">
        <v>58</v>
      </c>
      <c r="B50" s="7">
        <v>52.618181818181903</v>
      </c>
      <c r="C50" s="8">
        <v>125181.818181818</v>
      </c>
      <c r="D50" s="8">
        <v>37880</v>
      </c>
      <c r="E50" s="8">
        <v>51.872727272727303</v>
      </c>
      <c r="F50" s="10" t="s">
        <v>12</v>
      </c>
      <c r="G50" s="8" t="str">
        <f>IF(AND(Table1[[#This Row],[Spending ($)]]&gt;5000,Table1[[#This Row],[Frequency]]&gt;20),"Champion",IF(Table1[[#This Row],[Spending ($)]]&gt;1000,"Loyal","At Risk"))</f>
        <v>Champion</v>
      </c>
    </row>
    <row r="51" spans="1:7" ht="15" thickBot="1" x14ac:dyDescent="0.35">
      <c r="A51" s="9" t="s">
        <v>59</v>
      </c>
      <c r="B51" s="7">
        <v>53.048484848484897</v>
      </c>
      <c r="C51" s="8">
        <v>126484.848484848</v>
      </c>
      <c r="D51" s="8">
        <v>38656.666666666701</v>
      </c>
      <c r="E51" s="8">
        <v>52.793939393939397</v>
      </c>
      <c r="F51" s="10" t="s">
        <v>7</v>
      </c>
      <c r="G51" s="8" t="str">
        <f>IF(AND(Table1[[#This Row],[Spending ($)]]&gt;5000,Table1[[#This Row],[Frequency]]&gt;20),"Champion",IF(Table1[[#This Row],[Spending ($)]]&gt;1000,"Loyal","At Risk"))</f>
        <v>Champion</v>
      </c>
    </row>
    <row r="52" spans="1:7" ht="15" thickBot="1" x14ac:dyDescent="0.35">
      <c r="A52" s="9" t="s">
        <v>60</v>
      </c>
      <c r="B52" s="7">
        <v>53.478787878787898</v>
      </c>
      <c r="C52" s="8">
        <v>127787.878787879</v>
      </c>
      <c r="D52" s="8">
        <v>39433.333333333401</v>
      </c>
      <c r="E52" s="8">
        <v>53.715151515151597</v>
      </c>
      <c r="F52" s="10" t="s">
        <v>7</v>
      </c>
      <c r="G52" s="8" t="str">
        <f>IF(AND(Table1[[#This Row],[Spending ($)]]&gt;5000,Table1[[#This Row],[Frequency]]&gt;20),"Champion",IF(Table1[[#This Row],[Spending ($)]]&gt;1000,"Loyal","At Risk"))</f>
        <v>Champion</v>
      </c>
    </row>
    <row r="53" spans="1:7" ht="15" thickBot="1" x14ac:dyDescent="0.35">
      <c r="A53" s="9" t="s">
        <v>61</v>
      </c>
      <c r="B53" s="7">
        <v>53.909090909090899</v>
      </c>
      <c r="C53" s="8">
        <v>129090.909090909</v>
      </c>
      <c r="D53" s="8">
        <v>40210</v>
      </c>
      <c r="E53" s="8">
        <v>54.636363636363697</v>
      </c>
      <c r="F53" s="10" t="s">
        <v>9</v>
      </c>
      <c r="G53" s="8" t="str">
        <f>IF(AND(Table1[[#This Row],[Spending ($)]]&gt;5000,Table1[[#This Row],[Frequency]]&gt;20),"Champion",IF(Table1[[#This Row],[Spending ($)]]&gt;1000,"Loyal","At Risk"))</f>
        <v>Champion</v>
      </c>
    </row>
    <row r="54" spans="1:7" ht="15" thickBot="1" x14ac:dyDescent="0.35">
      <c r="A54" s="9" t="s">
        <v>62</v>
      </c>
      <c r="B54" s="7">
        <v>54.339393939394</v>
      </c>
      <c r="C54" s="8">
        <v>130393.939393939</v>
      </c>
      <c r="D54" s="8">
        <v>40986.666666666701</v>
      </c>
      <c r="E54" s="8">
        <v>55.557575757575798</v>
      </c>
      <c r="F54" s="10" t="s">
        <v>7</v>
      </c>
      <c r="G54" s="8" t="str">
        <f>IF(AND(Table1[[#This Row],[Spending ($)]]&gt;5000,Table1[[#This Row],[Frequency]]&gt;20),"Champion",IF(Table1[[#This Row],[Spending ($)]]&gt;1000,"Loyal","At Risk"))</f>
        <v>Champion</v>
      </c>
    </row>
    <row r="55" spans="1:7" ht="15" thickBot="1" x14ac:dyDescent="0.35">
      <c r="A55" s="9" t="s">
        <v>63</v>
      </c>
      <c r="B55" s="7">
        <v>54.769696969697002</v>
      </c>
      <c r="C55" s="8">
        <v>131696.96969696999</v>
      </c>
      <c r="D55" s="8">
        <v>41763.333333333503</v>
      </c>
      <c r="E55" s="8">
        <v>56.478787878787003</v>
      </c>
      <c r="F55" s="10" t="s">
        <v>12</v>
      </c>
      <c r="G55" s="8" t="str">
        <f>IF(AND(Table1[[#This Row],[Spending ($)]]&gt;5000,Table1[[#This Row],[Frequency]]&gt;20),"Champion",IF(Table1[[#This Row],[Spending ($)]]&gt;1000,"Loyal","At Risk"))</f>
        <v>Champion</v>
      </c>
    </row>
    <row r="56" spans="1:7" ht="15" thickBot="1" x14ac:dyDescent="0.35">
      <c r="A56" s="9" t="s">
        <v>64</v>
      </c>
      <c r="B56" s="7">
        <v>55.2</v>
      </c>
      <c r="C56" s="8">
        <v>133000</v>
      </c>
      <c r="D56" s="8">
        <v>42540.000000000196</v>
      </c>
      <c r="E56" s="8">
        <v>57.399999999999103</v>
      </c>
      <c r="F56" s="10" t="s">
        <v>14</v>
      </c>
      <c r="G56" s="8" t="str">
        <f>IF(AND(Table1[[#This Row],[Spending ($)]]&gt;5000,Table1[[#This Row],[Frequency]]&gt;20),"Champion",IF(Table1[[#This Row],[Spending ($)]]&gt;1000,"Loyal","At Risk"))</f>
        <v>Champion</v>
      </c>
    </row>
    <row r="57" spans="1:7" ht="15" thickBot="1" x14ac:dyDescent="0.35">
      <c r="A57" s="9" t="s">
        <v>65</v>
      </c>
      <c r="B57" s="7">
        <v>55.630303030303097</v>
      </c>
      <c r="C57" s="8">
        <v>134303.03030303001</v>
      </c>
      <c r="D57" s="8">
        <v>43316.666666666802</v>
      </c>
      <c r="E57" s="8">
        <v>58.321212121211197</v>
      </c>
      <c r="F57" s="10" t="s">
        <v>7</v>
      </c>
      <c r="G57" s="8" t="str">
        <f>IF(AND(Table1[[#This Row],[Spending ($)]]&gt;5000,Table1[[#This Row],[Frequency]]&gt;20),"Champion",IF(Table1[[#This Row],[Spending ($)]]&gt;1000,"Loyal","At Risk"))</f>
        <v>Champion</v>
      </c>
    </row>
    <row r="58" spans="1:7" ht="15" thickBot="1" x14ac:dyDescent="0.35">
      <c r="A58" s="9" t="s">
        <v>66</v>
      </c>
      <c r="B58" s="7">
        <v>56.060606060606098</v>
      </c>
      <c r="C58" s="8">
        <v>135606.06060606099</v>
      </c>
      <c r="D58" s="8">
        <v>44093.333333333503</v>
      </c>
      <c r="E58" s="8">
        <v>59.242424242423297</v>
      </c>
      <c r="F58" s="10" t="s">
        <v>9</v>
      </c>
      <c r="G58" s="8" t="str">
        <f>IF(AND(Table1[[#This Row],[Spending ($)]]&gt;5000,Table1[[#This Row],[Frequency]]&gt;20),"Champion",IF(Table1[[#This Row],[Spending ($)]]&gt;1000,"Loyal","At Risk"))</f>
        <v>Champion</v>
      </c>
    </row>
    <row r="59" spans="1:7" ht="15" thickBot="1" x14ac:dyDescent="0.35">
      <c r="A59" s="9" t="s">
        <v>67</v>
      </c>
      <c r="B59" s="7">
        <v>56.490909090909099</v>
      </c>
      <c r="C59" s="8">
        <v>136909.090909091</v>
      </c>
      <c r="D59" s="8">
        <v>44870.000000000196</v>
      </c>
      <c r="E59" s="8">
        <v>60.163636363635398</v>
      </c>
      <c r="F59" s="10" t="s">
        <v>14</v>
      </c>
      <c r="G59" s="8" t="str">
        <f>IF(AND(Table1[[#This Row],[Spending ($)]]&gt;5000,Table1[[#This Row],[Frequency]]&gt;20),"Champion",IF(Table1[[#This Row],[Spending ($)]]&gt;1000,"Loyal","At Risk"))</f>
        <v>Champion</v>
      </c>
    </row>
    <row r="60" spans="1:7" ht="15" thickBot="1" x14ac:dyDescent="0.35">
      <c r="A60" s="9" t="s">
        <v>68</v>
      </c>
      <c r="B60" s="7">
        <v>56.9212121212122</v>
      </c>
      <c r="C60" s="8">
        <v>138212.12121212101</v>
      </c>
      <c r="D60" s="8">
        <v>45646.666666666802</v>
      </c>
      <c r="E60" s="8">
        <v>61.084848484847498</v>
      </c>
      <c r="F60" s="10" t="s">
        <v>12</v>
      </c>
      <c r="G60" s="8" t="str">
        <f>IF(AND(Table1[[#This Row],[Spending ($)]]&gt;5000,Table1[[#This Row],[Frequency]]&gt;20),"Champion",IF(Table1[[#This Row],[Spending ($)]]&gt;1000,"Loyal","At Risk"))</f>
        <v>Champion</v>
      </c>
    </row>
    <row r="61" spans="1:7" ht="15" thickBot="1" x14ac:dyDescent="0.35">
      <c r="A61" s="9" t="s">
        <v>69</v>
      </c>
      <c r="B61" s="7">
        <v>57.351515151515201</v>
      </c>
      <c r="C61" s="8">
        <v>139515.151515151</v>
      </c>
      <c r="D61" s="8">
        <v>46423.333333333503</v>
      </c>
      <c r="E61" s="8">
        <v>62.006060606059599</v>
      </c>
      <c r="F61" s="10" t="s">
        <v>7</v>
      </c>
      <c r="G61" s="8" t="str">
        <f>IF(AND(Table1[[#This Row],[Spending ($)]]&gt;5000,Table1[[#This Row],[Frequency]]&gt;20),"Champion",IF(Table1[[#This Row],[Spending ($)]]&gt;1000,"Loyal","At Risk"))</f>
        <v>Champion</v>
      </c>
    </row>
    <row r="62" spans="1:7" ht="15" thickBot="1" x14ac:dyDescent="0.35">
      <c r="A62" s="9" t="s">
        <v>70</v>
      </c>
      <c r="B62" s="7">
        <v>57.781818181818203</v>
      </c>
      <c r="C62" s="8">
        <v>140818.181818182</v>
      </c>
      <c r="D62" s="8">
        <v>47200.000000000196</v>
      </c>
      <c r="E62" s="8">
        <v>62.927272727271699</v>
      </c>
      <c r="F62" s="10" t="s">
        <v>7</v>
      </c>
      <c r="G62" s="8" t="str">
        <f>IF(AND(Table1[[#This Row],[Spending ($)]]&gt;5000,Table1[[#This Row],[Frequency]]&gt;20),"Champion",IF(Table1[[#This Row],[Spending ($)]]&gt;1000,"Loyal","At Risk"))</f>
        <v>Champion</v>
      </c>
    </row>
    <row r="63" spans="1:7" ht="15" thickBot="1" x14ac:dyDescent="0.35">
      <c r="A63" s="9" t="s">
        <v>71</v>
      </c>
      <c r="B63" s="7">
        <v>58.212121212121197</v>
      </c>
      <c r="C63" s="8">
        <v>142121.21212121201</v>
      </c>
      <c r="D63" s="8">
        <v>47976.666666666897</v>
      </c>
      <c r="E63" s="8">
        <v>63.8484848484838</v>
      </c>
      <c r="F63" s="10" t="s">
        <v>9</v>
      </c>
      <c r="G63" s="8" t="str">
        <f>IF(AND(Table1[[#This Row],[Spending ($)]]&gt;5000,Table1[[#This Row],[Frequency]]&gt;20),"Champion",IF(Table1[[#This Row],[Spending ($)]]&gt;1000,"Loyal","At Risk"))</f>
        <v>Champion</v>
      </c>
    </row>
    <row r="64" spans="1:7" ht="15" thickBot="1" x14ac:dyDescent="0.35">
      <c r="A64" s="9" t="s">
        <v>72</v>
      </c>
      <c r="B64" s="7">
        <v>58.642424242424298</v>
      </c>
      <c r="C64" s="8">
        <v>143424.24242424199</v>
      </c>
      <c r="D64" s="8">
        <v>48753.333333333503</v>
      </c>
      <c r="E64" s="8">
        <v>64.7696969696959</v>
      </c>
      <c r="F64" s="10" t="s">
        <v>7</v>
      </c>
      <c r="G64" s="8" t="str">
        <f>IF(AND(Table1[[#This Row],[Spending ($)]]&gt;5000,Table1[[#This Row],[Frequency]]&gt;20),"Champion",IF(Table1[[#This Row],[Spending ($)]]&gt;1000,"Loyal","At Risk"))</f>
        <v>Champion</v>
      </c>
    </row>
    <row r="65" spans="1:7" ht="15" thickBot="1" x14ac:dyDescent="0.35">
      <c r="A65" s="9" t="s">
        <v>73</v>
      </c>
      <c r="B65" s="7">
        <v>59.072727272727299</v>
      </c>
      <c r="C65" s="8">
        <v>144727.272727273</v>
      </c>
      <c r="D65" s="8">
        <v>49530.000000000196</v>
      </c>
      <c r="E65" s="8">
        <v>65.690909090907994</v>
      </c>
      <c r="F65" s="10" t="s">
        <v>12</v>
      </c>
      <c r="G65" s="8" t="str">
        <f>IF(AND(Table1[[#This Row],[Spending ($)]]&gt;5000,Table1[[#This Row],[Frequency]]&gt;20),"Champion",IF(Table1[[#This Row],[Spending ($)]]&gt;1000,"Loyal","At Risk"))</f>
        <v>Champion</v>
      </c>
    </row>
    <row r="66" spans="1:7" ht="15" thickBot="1" x14ac:dyDescent="0.35">
      <c r="A66" s="9" t="s">
        <v>74</v>
      </c>
      <c r="B66" s="7">
        <v>59.5030303030303</v>
      </c>
      <c r="C66" s="8">
        <v>146030.30303030301</v>
      </c>
      <c r="D66" s="8">
        <v>50306.666666666897</v>
      </c>
      <c r="E66" s="8">
        <v>66.612121212120101</v>
      </c>
      <c r="F66" s="10" t="s">
        <v>14</v>
      </c>
      <c r="G66" s="8" t="str">
        <f>IF(AND(Table1[[#This Row],[Spending ($)]]&gt;5000,Table1[[#This Row],[Frequency]]&gt;20),"Champion",IF(Table1[[#This Row],[Spending ($)]]&gt;1000,"Loyal","At Risk"))</f>
        <v>Champion</v>
      </c>
    </row>
    <row r="67" spans="1:7" ht="15" thickBot="1" x14ac:dyDescent="0.35">
      <c r="A67" s="9" t="s">
        <v>75</v>
      </c>
      <c r="B67" s="7">
        <v>59.933333333333401</v>
      </c>
      <c r="C67" s="8">
        <v>147333.33333333299</v>
      </c>
      <c r="D67" s="8">
        <v>51083.333333333503</v>
      </c>
      <c r="E67" s="8">
        <v>67.533333333332195</v>
      </c>
      <c r="F67" s="10" t="s">
        <v>7</v>
      </c>
      <c r="G67" s="8" t="str">
        <f>IF(AND(Table1[[#This Row],[Spending ($)]]&gt;5000,Table1[[#This Row],[Frequency]]&gt;20),"Champion",IF(Table1[[#This Row],[Spending ($)]]&gt;1000,"Loyal","At Risk"))</f>
        <v>Champion</v>
      </c>
    </row>
    <row r="68" spans="1:7" ht="15" thickBot="1" x14ac:dyDescent="0.35">
      <c r="A68" s="9" t="s">
        <v>76</v>
      </c>
      <c r="B68" s="7">
        <v>60.363636363636402</v>
      </c>
      <c r="C68" s="8">
        <v>148636.363636364</v>
      </c>
      <c r="D68" s="8">
        <v>51860.000000000196</v>
      </c>
      <c r="E68" s="8">
        <v>68.454545454544302</v>
      </c>
      <c r="F68" s="10" t="s">
        <v>9</v>
      </c>
      <c r="G68" s="8" t="str">
        <f>IF(AND(Table1[[#This Row],[Spending ($)]]&gt;5000,Table1[[#This Row],[Frequency]]&gt;20),"Champion",IF(Table1[[#This Row],[Spending ($)]]&gt;1000,"Loyal","At Risk"))</f>
        <v>Champion</v>
      </c>
    </row>
    <row r="69" spans="1:7" ht="15" thickBot="1" x14ac:dyDescent="0.35">
      <c r="A69" s="9" t="s">
        <v>77</v>
      </c>
      <c r="B69" s="7">
        <v>60.793939393939397</v>
      </c>
      <c r="C69" s="8">
        <v>149939.39393939401</v>
      </c>
      <c r="D69" s="8">
        <v>52636.666666666897</v>
      </c>
      <c r="E69" s="8">
        <v>69.375757575756396</v>
      </c>
      <c r="F69" s="10" t="s">
        <v>14</v>
      </c>
      <c r="G69" s="8" t="str">
        <f>IF(AND(Table1[[#This Row],[Spending ($)]]&gt;5000,Table1[[#This Row],[Frequency]]&gt;20),"Champion",IF(Table1[[#This Row],[Spending ($)]]&gt;1000,"Loyal","At Risk"))</f>
        <v>Champion</v>
      </c>
    </row>
    <row r="70" spans="1:7" ht="15" thickBot="1" x14ac:dyDescent="0.35">
      <c r="A70" s="9" t="s">
        <v>78</v>
      </c>
      <c r="B70" s="7">
        <v>61.224242424242497</v>
      </c>
      <c r="C70" s="8">
        <v>151242.42424242399</v>
      </c>
      <c r="D70" s="8">
        <v>53413.333333333503</v>
      </c>
      <c r="E70" s="8">
        <v>70.296969696968503</v>
      </c>
      <c r="F70" s="10" t="s">
        <v>12</v>
      </c>
      <c r="G70" s="8" t="str">
        <f>IF(AND(Table1[[#This Row],[Spending ($)]]&gt;5000,Table1[[#This Row],[Frequency]]&gt;20),"Champion",IF(Table1[[#This Row],[Spending ($)]]&gt;1000,"Loyal","At Risk"))</f>
        <v>Champion</v>
      </c>
    </row>
    <row r="71" spans="1:7" ht="15" thickBot="1" x14ac:dyDescent="0.35">
      <c r="A71" s="9" t="s">
        <v>79</v>
      </c>
      <c r="B71" s="7">
        <v>61.654545454545499</v>
      </c>
      <c r="C71" s="8">
        <v>152545.454545455</v>
      </c>
      <c r="D71" s="8">
        <v>54190.000000000196</v>
      </c>
      <c r="E71" s="8">
        <v>71.218181818180597</v>
      </c>
      <c r="F71" s="10" t="s">
        <v>7</v>
      </c>
      <c r="G71" s="8" t="str">
        <f>IF(AND(Table1[[#This Row],[Spending ($)]]&gt;5000,Table1[[#This Row],[Frequency]]&gt;20),"Champion",IF(Table1[[#This Row],[Spending ($)]]&gt;1000,"Loyal","At Risk"))</f>
        <v>Champion</v>
      </c>
    </row>
    <row r="72" spans="1:7" ht="15" thickBot="1" x14ac:dyDescent="0.35">
      <c r="A72" s="9" t="s">
        <v>80</v>
      </c>
      <c r="B72" s="7">
        <v>62.0848484848485</v>
      </c>
      <c r="C72" s="8">
        <v>153848.48484848501</v>
      </c>
      <c r="D72" s="8">
        <v>54966.666666666897</v>
      </c>
      <c r="E72" s="8">
        <v>72.139393939392704</v>
      </c>
      <c r="F72" s="10" t="s">
        <v>7</v>
      </c>
      <c r="G72" s="8" t="str">
        <f>IF(AND(Table1[[#This Row],[Spending ($)]]&gt;5000,Table1[[#This Row],[Frequency]]&gt;20),"Champion",IF(Table1[[#This Row],[Spending ($)]]&gt;1000,"Loyal","At Risk"))</f>
        <v>Champion</v>
      </c>
    </row>
    <row r="73" spans="1:7" ht="15" thickBot="1" x14ac:dyDescent="0.35">
      <c r="A73" s="9" t="s">
        <v>81</v>
      </c>
      <c r="B73" s="7">
        <v>62.515151515151601</v>
      </c>
      <c r="C73" s="8">
        <v>155151.51515151499</v>
      </c>
      <c r="D73" s="8">
        <v>55743.333333333598</v>
      </c>
      <c r="E73" s="8">
        <v>73.060606060604798</v>
      </c>
      <c r="F73" s="10" t="s">
        <v>9</v>
      </c>
      <c r="G73" s="8" t="str">
        <f>IF(AND(Table1[[#This Row],[Spending ($)]]&gt;5000,Table1[[#This Row],[Frequency]]&gt;20),"Champion",IF(Table1[[#This Row],[Spending ($)]]&gt;1000,"Loyal","At Risk"))</f>
        <v>Champion</v>
      </c>
    </row>
    <row r="74" spans="1:7" ht="15" thickBot="1" x14ac:dyDescent="0.35">
      <c r="A74" s="9" t="s">
        <v>82</v>
      </c>
      <c r="B74" s="7">
        <v>62.945454545454602</v>
      </c>
      <c r="C74" s="8">
        <v>156454.545454545</v>
      </c>
      <c r="D74" s="8">
        <v>56520.000000000196</v>
      </c>
      <c r="E74" s="8">
        <v>73.981818181816905</v>
      </c>
      <c r="F74" s="10" t="s">
        <v>7</v>
      </c>
      <c r="G74" s="8" t="str">
        <f>IF(AND(Table1[[#This Row],[Spending ($)]]&gt;5000,Table1[[#This Row],[Frequency]]&gt;20),"Champion",IF(Table1[[#This Row],[Spending ($)]]&gt;1000,"Loyal","At Risk"))</f>
        <v>Champion</v>
      </c>
    </row>
    <row r="75" spans="1:7" ht="15" thickBot="1" x14ac:dyDescent="0.35">
      <c r="A75" s="9" t="s">
        <v>83</v>
      </c>
      <c r="B75" s="7">
        <v>63.375757575757603</v>
      </c>
      <c r="C75" s="8">
        <v>157757.57575757601</v>
      </c>
      <c r="D75" s="8">
        <v>57296.666666666897</v>
      </c>
      <c r="E75" s="8">
        <v>74.903030303028999</v>
      </c>
      <c r="F75" s="10" t="s">
        <v>12</v>
      </c>
      <c r="G75" s="8" t="str">
        <f>IF(AND(Table1[[#This Row],[Spending ($)]]&gt;5000,Table1[[#This Row],[Frequency]]&gt;20),"Champion",IF(Table1[[#This Row],[Spending ($)]]&gt;1000,"Loyal","At Risk"))</f>
        <v>Champion</v>
      </c>
    </row>
    <row r="76" spans="1:7" ht="15" thickBot="1" x14ac:dyDescent="0.35">
      <c r="A76" s="9" t="s">
        <v>84</v>
      </c>
      <c r="B76" s="7">
        <v>63.806060606060598</v>
      </c>
      <c r="C76" s="8">
        <v>159060.60606060599</v>
      </c>
      <c r="D76" s="8">
        <v>58073.333333333598</v>
      </c>
      <c r="E76" s="8">
        <v>75.824242424241106</v>
      </c>
      <c r="F76" s="10" t="s">
        <v>14</v>
      </c>
      <c r="G76" s="8" t="str">
        <f>IF(AND(Table1[[#This Row],[Spending ($)]]&gt;5000,Table1[[#This Row],[Frequency]]&gt;20),"Champion",IF(Table1[[#This Row],[Spending ($)]]&gt;1000,"Loyal","At Risk"))</f>
        <v>Champion</v>
      </c>
    </row>
    <row r="77" spans="1:7" ht="15" thickBot="1" x14ac:dyDescent="0.35">
      <c r="A77" s="9" t="s">
        <v>85</v>
      </c>
      <c r="B77" s="7">
        <v>64.236363636363706</v>
      </c>
      <c r="C77" s="8">
        <v>160363.636363636</v>
      </c>
      <c r="D77" s="8">
        <v>58850.000000000196</v>
      </c>
      <c r="E77" s="8">
        <v>76.7454545454532</v>
      </c>
      <c r="F77" s="10" t="s">
        <v>7</v>
      </c>
      <c r="G77" s="8" t="str">
        <f>IF(AND(Table1[[#This Row],[Spending ($)]]&gt;5000,Table1[[#This Row],[Frequency]]&gt;20),"Champion",IF(Table1[[#This Row],[Spending ($)]]&gt;1000,"Loyal","At Risk"))</f>
        <v>Champion</v>
      </c>
    </row>
    <row r="78" spans="1:7" ht="15" thickBot="1" x14ac:dyDescent="0.35">
      <c r="A78" s="9" t="s">
        <v>86</v>
      </c>
      <c r="B78" s="7">
        <v>64.6666666666667</v>
      </c>
      <c r="C78" s="8">
        <v>161666.66666666701</v>
      </c>
      <c r="D78" s="8">
        <v>59626.666666666897</v>
      </c>
      <c r="E78" s="8">
        <v>77.666666666665293</v>
      </c>
      <c r="F78" s="10" t="s">
        <v>9</v>
      </c>
      <c r="G78" s="8" t="str">
        <f>IF(AND(Table1[[#This Row],[Spending ($)]]&gt;5000,Table1[[#This Row],[Frequency]]&gt;20),"Champion",IF(Table1[[#This Row],[Spending ($)]]&gt;1000,"Loyal","At Risk"))</f>
        <v>Champion</v>
      </c>
    </row>
    <row r="79" spans="1:7" ht="15" thickBot="1" x14ac:dyDescent="0.35">
      <c r="A79" s="9" t="s">
        <v>87</v>
      </c>
      <c r="B79" s="7">
        <v>65.096969696969694</v>
      </c>
      <c r="C79" s="8">
        <v>162969.69696969699</v>
      </c>
      <c r="D79" s="8">
        <v>60403.333333333598</v>
      </c>
      <c r="E79" s="8">
        <v>78.587878787877401</v>
      </c>
      <c r="F79" s="10" t="s">
        <v>14</v>
      </c>
      <c r="G79" s="8" t="str">
        <f>IF(AND(Table1[[#This Row],[Spending ($)]]&gt;5000,Table1[[#This Row],[Frequency]]&gt;20),"Champion",IF(Table1[[#This Row],[Spending ($)]]&gt;1000,"Loyal","At Risk"))</f>
        <v>Champion</v>
      </c>
    </row>
    <row r="80" spans="1:7" ht="15" thickBot="1" x14ac:dyDescent="0.35">
      <c r="A80" s="9" t="s">
        <v>88</v>
      </c>
      <c r="B80" s="7">
        <v>65.527272727272802</v>
      </c>
      <c r="C80" s="8">
        <v>164272.727272727</v>
      </c>
      <c r="D80" s="8">
        <v>61180.000000000196</v>
      </c>
      <c r="E80" s="8">
        <v>79.509090909089494</v>
      </c>
      <c r="F80" s="10" t="s">
        <v>12</v>
      </c>
      <c r="G80" s="8" t="str">
        <f>IF(AND(Table1[[#This Row],[Spending ($)]]&gt;5000,Table1[[#This Row],[Frequency]]&gt;20),"Champion",IF(Table1[[#This Row],[Spending ($)]]&gt;1000,"Loyal","At Risk"))</f>
        <v>Champion</v>
      </c>
    </row>
    <row r="81" spans="1:7" ht="15" thickBot="1" x14ac:dyDescent="0.35">
      <c r="A81" s="9" t="s">
        <v>89</v>
      </c>
      <c r="B81" s="7">
        <v>65.957575757575796</v>
      </c>
      <c r="C81" s="8">
        <v>165575.75757575801</v>
      </c>
      <c r="D81" s="8">
        <v>61956.666666666897</v>
      </c>
      <c r="E81" s="8">
        <v>80.430303030301602</v>
      </c>
      <c r="F81" s="10" t="s">
        <v>7</v>
      </c>
      <c r="G81" s="8" t="str">
        <f>IF(AND(Table1[[#This Row],[Spending ($)]]&gt;5000,Table1[[#This Row],[Frequency]]&gt;20),"Champion",IF(Table1[[#This Row],[Spending ($)]]&gt;1000,"Loyal","At Risk"))</f>
        <v>Champion</v>
      </c>
    </row>
    <row r="82" spans="1:7" ht="15" thickBot="1" x14ac:dyDescent="0.35">
      <c r="A82" s="9" t="s">
        <v>90</v>
      </c>
      <c r="B82" s="7">
        <v>66.387878787878805</v>
      </c>
      <c r="C82" s="8">
        <v>166878.78787878799</v>
      </c>
      <c r="D82" s="8">
        <v>62733.333333333598</v>
      </c>
      <c r="E82" s="8">
        <v>81.351515151513695</v>
      </c>
      <c r="F82" s="10" t="s">
        <v>7</v>
      </c>
      <c r="G82" s="8" t="str">
        <f>IF(AND(Table1[[#This Row],[Spending ($)]]&gt;5000,Table1[[#This Row],[Frequency]]&gt;20),"Champion",IF(Table1[[#This Row],[Spending ($)]]&gt;1000,"Loyal","At Risk"))</f>
        <v>Champion</v>
      </c>
    </row>
    <row r="83" spans="1:7" ht="15" thickBot="1" x14ac:dyDescent="0.35">
      <c r="A83" s="9" t="s">
        <v>91</v>
      </c>
      <c r="B83" s="7">
        <v>66.818181818181898</v>
      </c>
      <c r="C83" s="8">
        <v>168181.818181818</v>
      </c>
      <c r="D83" s="8">
        <v>63510.000000000196</v>
      </c>
      <c r="E83" s="8">
        <v>82.272727272725803</v>
      </c>
      <c r="F83" s="10" t="s">
        <v>9</v>
      </c>
      <c r="G83" s="8" t="str">
        <f>IF(AND(Table1[[#This Row],[Spending ($)]]&gt;5000,Table1[[#This Row],[Frequency]]&gt;20),"Champion",IF(Table1[[#This Row],[Spending ($)]]&gt;1000,"Loyal","At Risk"))</f>
        <v>Champion</v>
      </c>
    </row>
    <row r="84" spans="1:7" ht="15" thickBot="1" x14ac:dyDescent="0.35">
      <c r="A84" s="9" t="s">
        <v>92</v>
      </c>
      <c r="B84" s="7">
        <v>67.248484848484907</v>
      </c>
      <c r="C84" s="8">
        <v>169484.848484849</v>
      </c>
      <c r="D84" s="8">
        <v>64286.666666666897</v>
      </c>
      <c r="E84" s="8">
        <v>83.193939393937896</v>
      </c>
      <c r="F84" s="10" t="s">
        <v>7</v>
      </c>
      <c r="G84" s="8" t="str">
        <f>IF(AND(Table1[[#This Row],[Spending ($)]]&gt;5000,Table1[[#This Row],[Frequency]]&gt;20),"Champion",IF(Table1[[#This Row],[Spending ($)]]&gt;1000,"Loyal","At Risk"))</f>
        <v>Champion</v>
      </c>
    </row>
    <row r="85" spans="1:7" ht="15" thickBot="1" x14ac:dyDescent="0.35">
      <c r="A85" s="9" t="s">
        <v>93</v>
      </c>
      <c r="B85" s="7">
        <v>67.678787878787901</v>
      </c>
      <c r="C85" s="8">
        <v>170787.87878787899</v>
      </c>
      <c r="D85" s="8">
        <v>65063.333333333598</v>
      </c>
      <c r="E85" s="8">
        <v>84.115151515150004</v>
      </c>
      <c r="F85" s="10" t="s">
        <v>12</v>
      </c>
      <c r="G85" s="8" t="str">
        <f>IF(AND(Table1[[#This Row],[Spending ($)]]&gt;5000,Table1[[#This Row],[Frequency]]&gt;20),"Champion",IF(Table1[[#This Row],[Spending ($)]]&gt;1000,"Loyal","At Risk"))</f>
        <v>Champion</v>
      </c>
    </row>
    <row r="86" spans="1:7" ht="15" thickBot="1" x14ac:dyDescent="0.35">
      <c r="A86" s="9" t="s">
        <v>94</v>
      </c>
      <c r="B86" s="7">
        <v>68.109090909090895</v>
      </c>
      <c r="C86" s="8">
        <v>172090.909090909</v>
      </c>
      <c r="D86" s="8">
        <v>65840.000000000306</v>
      </c>
      <c r="E86" s="8">
        <v>85.036363636362097</v>
      </c>
      <c r="F86" s="10" t="s">
        <v>14</v>
      </c>
      <c r="G86" s="8" t="str">
        <f>IF(AND(Table1[[#This Row],[Spending ($)]]&gt;5000,Table1[[#This Row],[Frequency]]&gt;20),"Champion",IF(Table1[[#This Row],[Spending ($)]]&gt;1000,"Loyal","At Risk"))</f>
        <v>Champion</v>
      </c>
    </row>
    <row r="87" spans="1:7" ht="15" thickBot="1" x14ac:dyDescent="0.35">
      <c r="A87" s="9" t="s">
        <v>95</v>
      </c>
      <c r="B87" s="7">
        <v>68.539393939394003</v>
      </c>
      <c r="C87" s="8">
        <v>173393.93939393901</v>
      </c>
      <c r="D87" s="8">
        <v>66616.666666666904</v>
      </c>
      <c r="E87" s="8">
        <v>85.957575757574205</v>
      </c>
      <c r="F87" s="10" t="s">
        <v>7</v>
      </c>
      <c r="G87" s="8" t="str">
        <f>IF(AND(Table1[[#This Row],[Spending ($)]]&gt;5000,Table1[[#This Row],[Frequency]]&gt;20),"Champion",IF(Table1[[#This Row],[Spending ($)]]&gt;1000,"Loyal","At Risk"))</f>
        <v>Champion</v>
      </c>
    </row>
    <row r="88" spans="1:7" ht="15" thickBot="1" x14ac:dyDescent="0.35">
      <c r="A88" s="9" t="s">
        <v>96</v>
      </c>
      <c r="B88" s="7">
        <v>68.969696969696997</v>
      </c>
      <c r="C88" s="8">
        <v>174696.96969696999</v>
      </c>
      <c r="D88" s="8">
        <v>67393.333333333605</v>
      </c>
      <c r="E88" s="8">
        <v>86.878787878786298</v>
      </c>
      <c r="F88" s="10" t="s">
        <v>9</v>
      </c>
      <c r="G88" s="8" t="str">
        <f>IF(AND(Table1[[#This Row],[Spending ($)]]&gt;5000,Table1[[#This Row],[Frequency]]&gt;20),"Champion",IF(Table1[[#This Row],[Spending ($)]]&gt;1000,"Loyal","At Risk"))</f>
        <v>Champion</v>
      </c>
    </row>
    <row r="89" spans="1:7" ht="15" thickBot="1" x14ac:dyDescent="0.35">
      <c r="A89" s="9" t="s">
        <v>97</v>
      </c>
      <c r="B89" s="7">
        <v>69.400000000000006</v>
      </c>
      <c r="C89" s="8">
        <v>176000</v>
      </c>
      <c r="D89" s="8">
        <v>68170.000000000306</v>
      </c>
      <c r="E89" s="8">
        <v>87.799999999998406</v>
      </c>
      <c r="F89" s="10" t="s">
        <v>14</v>
      </c>
      <c r="G89" s="8" t="str">
        <f>IF(AND(Table1[[#This Row],[Spending ($)]]&gt;5000,Table1[[#This Row],[Frequency]]&gt;20),"Champion",IF(Table1[[#This Row],[Spending ($)]]&gt;1000,"Loyal","At Risk"))</f>
        <v>Champion</v>
      </c>
    </row>
    <row r="90" spans="1:7" ht="15" thickBot="1" x14ac:dyDescent="0.35">
      <c r="A90" s="9" t="s">
        <v>98</v>
      </c>
      <c r="B90" s="7">
        <v>69.830303030303099</v>
      </c>
      <c r="C90" s="8">
        <v>177303.030303031</v>
      </c>
      <c r="D90" s="8">
        <v>68946.666666666904</v>
      </c>
      <c r="E90" s="8">
        <v>88.721212121210499</v>
      </c>
      <c r="F90" s="10" t="s">
        <v>12</v>
      </c>
      <c r="G90" s="8" t="str">
        <f>IF(AND(Table1[[#This Row],[Spending ($)]]&gt;5000,Table1[[#This Row],[Frequency]]&gt;20),"Champion",IF(Table1[[#This Row],[Spending ($)]]&gt;1000,"Loyal","At Risk"))</f>
        <v>Champion</v>
      </c>
    </row>
    <row r="91" spans="1:7" ht="15" thickBot="1" x14ac:dyDescent="0.35">
      <c r="A91" s="9" t="s">
        <v>99</v>
      </c>
      <c r="B91" s="7">
        <v>70.260606060606094</v>
      </c>
      <c r="C91" s="8">
        <v>178606.06060606099</v>
      </c>
      <c r="D91" s="8">
        <v>69723.333333333605</v>
      </c>
      <c r="E91" s="8">
        <v>89.642424242422607</v>
      </c>
      <c r="F91" s="10" t="s">
        <v>7</v>
      </c>
      <c r="G91" s="8" t="str">
        <f>IF(AND(Table1[[#This Row],[Spending ($)]]&gt;5000,Table1[[#This Row],[Frequency]]&gt;20),"Champion",IF(Table1[[#This Row],[Spending ($)]]&gt;1000,"Loyal","At Risk"))</f>
        <v>Champion</v>
      </c>
    </row>
    <row r="92" spans="1:7" ht="15" thickBot="1" x14ac:dyDescent="0.35">
      <c r="A92" s="9" t="s">
        <v>100</v>
      </c>
      <c r="B92" s="7">
        <v>70.690909090909102</v>
      </c>
      <c r="C92" s="8">
        <v>179909.090909091</v>
      </c>
      <c r="D92" s="8">
        <v>70500.000000000306</v>
      </c>
      <c r="E92" s="8">
        <v>90.5636363636347</v>
      </c>
      <c r="F92" s="10" t="s">
        <v>7</v>
      </c>
      <c r="G92" s="8" t="str">
        <f>IF(AND(Table1[[#This Row],[Spending ($)]]&gt;5000,Table1[[#This Row],[Frequency]]&gt;20),"Champion",IF(Table1[[#This Row],[Spending ($)]]&gt;1000,"Loyal","At Risk"))</f>
        <v>Champion</v>
      </c>
    </row>
    <row r="93" spans="1:7" ht="15" thickBot="1" x14ac:dyDescent="0.35">
      <c r="A93" s="9" t="s">
        <v>101</v>
      </c>
      <c r="B93" s="7">
        <v>71.121212121212196</v>
      </c>
      <c r="C93" s="8">
        <v>181212.121212122</v>
      </c>
      <c r="D93" s="8">
        <v>71276.666666666904</v>
      </c>
      <c r="E93" s="8">
        <v>91.484848484846793</v>
      </c>
      <c r="F93" s="10" t="s">
        <v>9</v>
      </c>
      <c r="G93" s="8" t="str">
        <f>IF(AND(Table1[[#This Row],[Spending ($)]]&gt;5000,Table1[[#This Row],[Frequency]]&gt;20),"Champion",IF(Table1[[#This Row],[Spending ($)]]&gt;1000,"Loyal","At Risk"))</f>
        <v>Champion</v>
      </c>
    </row>
    <row r="94" spans="1:7" ht="15" thickBot="1" x14ac:dyDescent="0.35">
      <c r="A94" s="9" t="s">
        <v>102</v>
      </c>
      <c r="B94" s="7">
        <v>71.551515151515204</v>
      </c>
      <c r="C94" s="8">
        <v>182515.15151515201</v>
      </c>
      <c r="D94" s="8">
        <v>72053.333333333605</v>
      </c>
      <c r="E94" s="8">
        <v>92.406060606058901</v>
      </c>
      <c r="F94" s="10" t="s">
        <v>7</v>
      </c>
      <c r="G94" s="8" t="str">
        <f>IF(AND(Table1[[#This Row],[Spending ($)]]&gt;5000,Table1[[#This Row],[Frequency]]&gt;20),"Champion",IF(Table1[[#This Row],[Spending ($)]]&gt;1000,"Loyal","At Risk"))</f>
        <v>Champion</v>
      </c>
    </row>
    <row r="95" spans="1:7" ht="15" thickBot="1" x14ac:dyDescent="0.35">
      <c r="A95" s="9" t="s">
        <v>103</v>
      </c>
      <c r="B95" s="7">
        <v>71.981818181818198</v>
      </c>
      <c r="C95" s="8">
        <v>183818.181818182</v>
      </c>
      <c r="D95" s="8">
        <v>72830.000000000306</v>
      </c>
      <c r="E95" s="8">
        <v>93.327272727270994</v>
      </c>
      <c r="F95" s="10" t="s">
        <v>12</v>
      </c>
      <c r="G95" s="8" t="str">
        <f>IF(AND(Table1[[#This Row],[Spending ($)]]&gt;5000,Table1[[#This Row],[Frequency]]&gt;20),"Champion",IF(Table1[[#This Row],[Spending ($)]]&gt;1000,"Loyal","At Risk"))</f>
        <v>Champion</v>
      </c>
    </row>
    <row r="96" spans="1:7" ht="15" thickBot="1" x14ac:dyDescent="0.35">
      <c r="A96" s="9" t="s">
        <v>104</v>
      </c>
      <c r="B96" s="7">
        <v>72.412121212121207</v>
      </c>
      <c r="C96" s="8">
        <v>185121.212121213</v>
      </c>
      <c r="D96" s="8">
        <v>73606.666666667006</v>
      </c>
      <c r="E96" s="8">
        <v>94.248484848483102</v>
      </c>
      <c r="F96" s="10" t="s">
        <v>14</v>
      </c>
      <c r="G96" s="8" t="str">
        <f>IF(AND(Table1[[#This Row],[Spending ($)]]&gt;5000,Table1[[#This Row],[Frequency]]&gt;20),"Champion",IF(Table1[[#This Row],[Spending ($)]]&gt;1000,"Loyal","At Risk"))</f>
        <v>Champion</v>
      </c>
    </row>
    <row r="97" spans="1:7" ht="15" thickBot="1" x14ac:dyDescent="0.35">
      <c r="A97" s="9" t="s">
        <v>105</v>
      </c>
      <c r="B97" s="7">
        <v>72.8424242424243</v>
      </c>
      <c r="C97" s="8">
        <v>186424.24242424301</v>
      </c>
      <c r="D97" s="8">
        <v>74383.333333333605</v>
      </c>
      <c r="E97" s="8">
        <v>95.169696969695195</v>
      </c>
      <c r="F97" s="10" t="s">
        <v>7</v>
      </c>
      <c r="G97" s="8" t="str">
        <f>IF(AND(Table1[[#This Row],[Spending ($)]]&gt;5000,Table1[[#This Row],[Frequency]]&gt;20),"Champion",IF(Table1[[#This Row],[Spending ($)]]&gt;1000,"Loyal","At Risk"))</f>
        <v>Champion</v>
      </c>
    </row>
    <row r="98" spans="1:7" ht="15" thickBot="1" x14ac:dyDescent="0.35">
      <c r="A98" s="9" t="s">
        <v>106</v>
      </c>
      <c r="B98" s="7">
        <v>73.272727272727295</v>
      </c>
      <c r="C98" s="8">
        <v>187727.272727273</v>
      </c>
      <c r="D98" s="8">
        <v>75160.000000000306</v>
      </c>
      <c r="E98" s="8">
        <v>96.090909090907303</v>
      </c>
      <c r="F98" s="10" t="s">
        <v>9</v>
      </c>
      <c r="G98" s="8" t="str">
        <f>IF(AND(Table1[[#This Row],[Spending ($)]]&gt;5000,Table1[[#This Row],[Frequency]]&gt;20),"Champion",IF(Table1[[#This Row],[Spending ($)]]&gt;1000,"Loyal","At Risk"))</f>
        <v>Champion</v>
      </c>
    </row>
    <row r="99" spans="1:7" ht="15" thickBot="1" x14ac:dyDescent="0.35">
      <c r="A99" s="9" t="s">
        <v>107</v>
      </c>
      <c r="B99" s="7">
        <v>73.703030303030303</v>
      </c>
      <c r="C99" s="8">
        <v>189030.30303030301</v>
      </c>
      <c r="D99" s="8">
        <v>75936.666666667006</v>
      </c>
      <c r="E99" s="8">
        <v>97.012121212119396</v>
      </c>
      <c r="F99" s="10" t="s">
        <v>14</v>
      </c>
      <c r="G99" s="8" t="str">
        <f>IF(AND(Table1[[#This Row],[Spending ($)]]&gt;5000,Table1[[#This Row],[Frequency]]&gt;20),"Champion",IF(Table1[[#This Row],[Spending ($)]]&gt;1000,"Loyal","At Risk"))</f>
        <v>Champion</v>
      </c>
    </row>
    <row r="100" spans="1:7" ht="15" thickBot="1" x14ac:dyDescent="0.35">
      <c r="A100" s="9" t="s">
        <v>108</v>
      </c>
      <c r="B100" s="7">
        <v>74.133333333333397</v>
      </c>
      <c r="C100" s="8">
        <v>190333.33333333401</v>
      </c>
      <c r="D100" s="8">
        <v>76713.333333333605</v>
      </c>
      <c r="E100" s="8">
        <v>97.933333333331504</v>
      </c>
      <c r="F100" s="10" t="s">
        <v>12</v>
      </c>
      <c r="G100" s="8" t="str">
        <f>IF(AND(Table1[[#This Row],[Spending ($)]]&gt;5000,Table1[[#This Row],[Frequency]]&gt;20),"Champion",IF(Table1[[#This Row],[Spending ($)]]&gt;1000,"Loyal","At Risk"))</f>
        <v>Champion</v>
      </c>
    </row>
    <row r="101" spans="1:7" x14ac:dyDescent="0.3">
      <c r="A101" s="15" t="s">
        <v>109</v>
      </c>
      <c r="B101" s="16">
        <v>74.563636363636405</v>
      </c>
      <c r="C101" s="17">
        <v>191636.363636364</v>
      </c>
      <c r="D101" s="17">
        <v>77490.000000000306</v>
      </c>
      <c r="E101" s="17">
        <v>98.854545454543697</v>
      </c>
      <c r="F101" s="18" t="s">
        <v>7</v>
      </c>
      <c r="G101" s="17" t="str">
        <f>IF(AND(Table1[[#This Row],[Spending ($)]]&gt;5000,Table1[[#This Row],[Frequency]]&gt;20),"Champion",IF(Table1[[#This Row],[Spending ($)]]&gt;1000,"Loyal","At Risk"))</f>
        <v>Champion</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87D2B-BC2D-4A41-8043-FF94E51300FA}">
  <dimension ref="A3:D14"/>
  <sheetViews>
    <sheetView workbookViewId="0">
      <selection activeCell="A10" sqref="A10"/>
    </sheetView>
  </sheetViews>
  <sheetFormatPr defaultRowHeight="14.4" x14ac:dyDescent="0.3"/>
  <cols>
    <col min="1" max="1" width="12.5546875" bestFit="1" customWidth="1"/>
    <col min="2" max="2" width="19.33203125" bestFit="1" customWidth="1"/>
  </cols>
  <sheetData>
    <row r="3" spans="1:4" x14ac:dyDescent="0.3">
      <c r="A3" s="20" t="s">
        <v>111</v>
      </c>
      <c r="B3" t="s">
        <v>116</v>
      </c>
    </row>
    <row r="4" spans="1:4" x14ac:dyDescent="0.3">
      <c r="A4" s="21" t="s">
        <v>112</v>
      </c>
      <c r="B4">
        <v>3</v>
      </c>
      <c r="D4">
        <f>GETPIVOTDATA("Customer ID",'pivot tables'!$A$3)</f>
        <v>100</v>
      </c>
    </row>
    <row r="5" spans="1:4" x14ac:dyDescent="0.3">
      <c r="A5" s="21" t="s">
        <v>113</v>
      </c>
      <c r="B5">
        <v>89</v>
      </c>
    </row>
    <row r="6" spans="1:4" x14ac:dyDescent="0.3">
      <c r="A6" s="21" t="s">
        <v>114</v>
      </c>
      <c r="B6">
        <v>8</v>
      </c>
    </row>
    <row r="7" spans="1:4" x14ac:dyDescent="0.3">
      <c r="A7" s="21" t="s">
        <v>115</v>
      </c>
      <c r="B7">
        <v>100</v>
      </c>
    </row>
    <row r="9" spans="1:4" x14ac:dyDescent="0.3">
      <c r="A9" s="20" t="s">
        <v>111</v>
      </c>
      <c r="B9" t="s">
        <v>117</v>
      </c>
    </row>
    <row r="10" spans="1:4" x14ac:dyDescent="0.3">
      <c r="A10" s="21" t="s">
        <v>12</v>
      </c>
      <c r="B10">
        <v>792190.0000000021</v>
      </c>
    </row>
    <row r="11" spans="1:4" x14ac:dyDescent="0.3">
      <c r="A11" s="21" t="s">
        <v>7</v>
      </c>
      <c r="B11">
        <v>1555690.000000004</v>
      </c>
    </row>
    <row r="12" spans="1:4" x14ac:dyDescent="0.3">
      <c r="A12" s="21" t="s">
        <v>14</v>
      </c>
      <c r="B12">
        <v>787890.00000000279</v>
      </c>
      <c r="D12">
        <f>GETPIVOTDATA("Spending ($)",'pivot tables'!$A$9)</f>
        <v>3904500.0000000112</v>
      </c>
    </row>
    <row r="13" spans="1:4" x14ac:dyDescent="0.3">
      <c r="A13" s="21" t="s">
        <v>9</v>
      </c>
      <c r="B13">
        <v>768730.00000000221</v>
      </c>
    </row>
    <row r="14" spans="1:4" x14ac:dyDescent="0.3">
      <c r="A14" s="21" t="s">
        <v>115</v>
      </c>
      <c r="B14">
        <v>3904500.0000000112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E995F-39B0-4C7A-8045-48B79CCB0040}">
  <dimension ref="B1:X192"/>
  <sheetViews>
    <sheetView showGridLines="0" tabSelected="1" workbookViewId="0">
      <selection activeCell="S27" sqref="S27"/>
    </sheetView>
  </sheetViews>
  <sheetFormatPr defaultRowHeight="14.4" x14ac:dyDescent="0.3"/>
  <sheetData>
    <row r="1" spans="2:24" s="23" customFormat="1" x14ac:dyDescent="0.3">
      <c r="B1" s="24" t="s">
        <v>118</v>
      </c>
      <c r="C1" s="24"/>
      <c r="D1" s="24"/>
      <c r="E1" s="24"/>
      <c r="F1" s="24"/>
      <c r="G1" s="24"/>
      <c r="H1" s="24"/>
      <c r="I1" s="24"/>
      <c r="J1" s="24"/>
      <c r="K1" s="24"/>
      <c r="L1" s="24"/>
      <c r="M1" s="24"/>
      <c r="N1" s="24"/>
      <c r="O1" s="24"/>
      <c r="P1" s="24"/>
      <c r="Q1" s="24"/>
      <c r="R1" s="24"/>
      <c r="S1" s="24"/>
      <c r="T1" s="24"/>
      <c r="U1" s="24"/>
      <c r="V1" s="24"/>
      <c r="W1" s="24"/>
      <c r="X1" s="24"/>
    </row>
    <row r="2" spans="2:24" s="23" customFormat="1" x14ac:dyDescent="0.3">
      <c r="B2" s="24"/>
      <c r="C2" s="24"/>
      <c r="D2" s="24"/>
      <c r="E2" s="24"/>
      <c r="F2" s="24"/>
      <c r="G2" s="24"/>
      <c r="H2" s="24"/>
      <c r="I2" s="24"/>
      <c r="J2" s="24"/>
      <c r="K2" s="24"/>
      <c r="L2" s="24"/>
      <c r="M2" s="24"/>
      <c r="N2" s="24"/>
      <c r="O2" s="24"/>
      <c r="P2" s="24"/>
      <c r="Q2" s="24"/>
      <c r="R2" s="24"/>
      <c r="S2" s="24"/>
      <c r="T2" s="24"/>
      <c r="U2" s="24"/>
      <c r="V2" s="24"/>
      <c r="W2" s="24"/>
      <c r="X2" s="24"/>
    </row>
    <row r="3" spans="2:24" s="23" customFormat="1" x14ac:dyDescent="0.3">
      <c r="B3" s="24"/>
      <c r="C3" s="24"/>
      <c r="D3" s="24"/>
      <c r="E3" s="24"/>
      <c r="F3" s="24"/>
      <c r="G3" s="24"/>
      <c r="H3" s="24"/>
      <c r="I3" s="24"/>
      <c r="J3" s="24"/>
      <c r="K3" s="24"/>
      <c r="L3" s="24"/>
      <c r="M3" s="24"/>
      <c r="N3" s="24"/>
      <c r="O3" s="24"/>
      <c r="P3" s="24"/>
      <c r="Q3" s="24"/>
      <c r="R3" s="24"/>
      <c r="S3" s="24"/>
      <c r="T3" s="24"/>
      <c r="U3" s="24"/>
      <c r="V3" s="24"/>
      <c r="W3" s="24"/>
      <c r="X3" s="24"/>
    </row>
    <row r="4" spans="2:24" s="23" customFormat="1" x14ac:dyDescent="0.3">
      <c r="B4" s="24"/>
      <c r="C4" s="24"/>
      <c r="D4" s="24"/>
      <c r="E4" s="24"/>
      <c r="F4" s="24"/>
      <c r="G4" s="24"/>
      <c r="H4" s="24"/>
      <c r="I4" s="24"/>
      <c r="J4" s="24"/>
      <c r="K4" s="24"/>
      <c r="L4" s="24"/>
      <c r="M4" s="24"/>
      <c r="N4" s="24"/>
      <c r="O4" s="24"/>
      <c r="P4" s="24"/>
      <c r="Q4" s="24"/>
      <c r="R4" s="24"/>
      <c r="S4" s="24"/>
      <c r="T4" s="24"/>
      <c r="U4" s="24"/>
      <c r="V4" s="24"/>
      <c r="W4" s="24"/>
      <c r="X4" s="24"/>
    </row>
    <row r="5" spans="2:24" s="23" customFormat="1" x14ac:dyDescent="0.3">
      <c r="B5" s="24"/>
      <c r="C5" s="24"/>
      <c r="D5" s="24"/>
      <c r="E5" s="24"/>
      <c r="F5" s="24"/>
      <c r="G5" s="24"/>
      <c r="H5" s="24"/>
      <c r="I5" s="24"/>
      <c r="J5" s="24"/>
      <c r="K5" s="24"/>
      <c r="L5" s="24"/>
      <c r="M5" s="24"/>
      <c r="N5" s="24"/>
      <c r="O5" s="24"/>
      <c r="P5" s="24"/>
      <c r="Q5" s="24"/>
      <c r="R5" s="24"/>
      <c r="S5" s="24"/>
      <c r="T5" s="24"/>
      <c r="U5" s="24"/>
      <c r="V5" s="24"/>
      <c r="W5" s="24"/>
      <c r="X5" s="24"/>
    </row>
    <row r="6" spans="2:24" s="22" customFormat="1" x14ac:dyDescent="0.3"/>
    <row r="7" spans="2:24" s="22" customFormat="1" x14ac:dyDescent="0.3"/>
    <row r="8" spans="2:24" s="22" customFormat="1" x14ac:dyDescent="0.3"/>
    <row r="9" spans="2:24" s="22" customFormat="1" x14ac:dyDescent="0.3"/>
    <row r="10" spans="2:24" s="22" customFormat="1" x14ac:dyDescent="0.3"/>
    <row r="11" spans="2:24" s="22" customFormat="1" x14ac:dyDescent="0.3"/>
    <row r="12" spans="2:24" s="22" customFormat="1" x14ac:dyDescent="0.3"/>
    <row r="13" spans="2:24" s="22" customFormat="1" x14ac:dyDescent="0.3"/>
    <row r="14" spans="2:24" s="22" customFormat="1" x14ac:dyDescent="0.3"/>
    <row r="15" spans="2:24" s="22" customFormat="1" x14ac:dyDescent="0.3"/>
    <row r="16" spans="2:24" s="22" customFormat="1" x14ac:dyDescent="0.3"/>
    <row r="17" s="22" customFormat="1" x14ac:dyDescent="0.3"/>
    <row r="18" s="22" customFormat="1" x14ac:dyDescent="0.3"/>
    <row r="19" s="22" customFormat="1" x14ac:dyDescent="0.3"/>
    <row r="20" s="22" customFormat="1" x14ac:dyDescent="0.3"/>
    <row r="21" s="22" customFormat="1" x14ac:dyDescent="0.3"/>
    <row r="22" s="22" customFormat="1" x14ac:dyDescent="0.3"/>
    <row r="23" s="22" customFormat="1" x14ac:dyDescent="0.3"/>
    <row r="24" s="22" customFormat="1" x14ac:dyDescent="0.3"/>
    <row r="25" s="22" customFormat="1" x14ac:dyDescent="0.3"/>
    <row r="26" s="22" customFormat="1" x14ac:dyDescent="0.3"/>
    <row r="27" s="22" customFormat="1" x14ac:dyDescent="0.3"/>
    <row r="28" s="22" customFormat="1" x14ac:dyDescent="0.3"/>
    <row r="29" s="22" customFormat="1" x14ac:dyDescent="0.3"/>
    <row r="30" s="22" customFormat="1" x14ac:dyDescent="0.3"/>
    <row r="31" s="22" customFormat="1" x14ac:dyDescent="0.3"/>
    <row r="32" s="22" customFormat="1" x14ac:dyDescent="0.3"/>
    <row r="33" s="22" customFormat="1" x14ac:dyDescent="0.3"/>
    <row r="34" s="22" customFormat="1" x14ac:dyDescent="0.3"/>
    <row r="35" s="22" customFormat="1" x14ac:dyDescent="0.3"/>
    <row r="36" s="22" customFormat="1" x14ac:dyDescent="0.3"/>
    <row r="37" s="22" customFormat="1" x14ac:dyDescent="0.3"/>
    <row r="38" s="22" customFormat="1" x14ac:dyDescent="0.3"/>
    <row r="39" s="22" customFormat="1" x14ac:dyDescent="0.3"/>
    <row r="40" s="22" customFormat="1" x14ac:dyDescent="0.3"/>
    <row r="41" s="22" customFormat="1" x14ac:dyDescent="0.3"/>
    <row r="42" s="22" customFormat="1" x14ac:dyDescent="0.3"/>
    <row r="43" s="22" customFormat="1" x14ac:dyDescent="0.3"/>
    <row r="44" s="22" customFormat="1" x14ac:dyDescent="0.3"/>
    <row r="45" s="22" customFormat="1" x14ac:dyDescent="0.3"/>
    <row r="46" s="22" customFormat="1" x14ac:dyDescent="0.3"/>
    <row r="47" s="22" customFormat="1" x14ac:dyDescent="0.3"/>
    <row r="48" s="22" customFormat="1" x14ac:dyDescent="0.3"/>
    <row r="49" s="22" customFormat="1" x14ac:dyDescent="0.3"/>
    <row r="50" s="22" customFormat="1" x14ac:dyDescent="0.3"/>
    <row r="51" s="22" customFormat="1" x14ac:dyDescent="0.3"/>
    <row r="52" s="22" customFormat="1" x14ac:dyDescent="0.3"/>
    <row r="53" s="22" customFormat="1" x14ac:dyDescent="0.3"/>
    <row r="54" s="22" customFormat="1" x14ac:dyDescent="0.3"/>
    <row r="55" s="22" customFormat="1" x14ac:dyDescent="0.3"/>
    <row r="56" s="22" customFormat="1" x14ac:dyDescent="0.3"/>
    <row r="57" s="22" customFormat="1" x14ac:dyDescent="0.3"/>
    <row r="58" s="22" customFormat="1" x14ac:dyDescent="0.3"/>
    <row r="59" s="22" customFormat="1" x14ac:dyDescent="0.3"/>
    <row r="60" s="22" customFormat="1" x14ac:dyDescent="0.3"/>
    <row r="61" s="22" customFormat="1" x14ac:dyDescent="0.3"/>
    <row r="62" s="22" customFormat="1" x14ac:dyDescent="0.3"/>
    <row r="63" s="22" customFormat="1" x14ac:dyDescent="0.3"/>
    <row r="64" s="22" customFormat="1" x14ac:dyDescent="0.3"/>
    <row r="65" s="22" customFormat="1" x14ac:dyDescent="0.3"/>
    <row r="66" s="22" customFormat="1" x14ac:dyDescent="0.3"/>
    <row r="67" s="22" customFormat="1" x14ac:dyDescent="0.3"/>
    <row r="68" s="22" customFormat="1" x14ac:dyDescent="0.3"/>
    <row r="69" s="22" customFormat="1" x14ac:dyDescent="0.3"/>
    <row r="70" s="22" customFormat="1" x14ac:dyDescent="0.3"/>
    <row r="71" s="22" customFormat="1" x14ac:dyDescent="0.3"/>
    <row r="72" s="22" customFormat="1" x14ac:dyDescent="0.3"/>
    <row r="73" s="22" customFormat="1" x14ac:dyDescent="0.3"/>
    <row r="74" s="22" customFormat="1" x14ac:dyDescent="0.3"/>
    <row r="75" s="22" customFormat="1" x14ac:dyDescent="0.3"/>
    <row r="76" s="22" customFormat="1" x14ac:dyDescent="0.3"/>
    <row r="77" s="22" customFormat="1" x14ac:dyDescent="0.3"/>
    <row r="78" s="22" customFormat="1" x14ac:dyDescent="0.3"/>
    <row r="79" s="22" customFormat="1" x14ac:dyDescent="0.3"/>
    <row r="80" s="22" customFormat="1" x14ac:dyDescent="0.3"/>
    <row r="81" s="22" customFormat="1" x14ac:dyDescent="0.3"/>
    <row r="82" s="22" customFormat="1" x14ac:dyDescent="0.3"/>
    <row r="83" s="22" customFormat="1" x14ac:dyDescent="0.3"/>
    <row r="84" s="22" customFormat="1" x14ac:dyDescent="0.3"/>
    <row r="85" s="22" customFormat="1" x14ac:dyDescent="0.3"/>
    <row r="86" s="22" customFormat="1" x14ac:dyDescent="0.3"/>
    <row r="87" s="22" customFormat="1" x14ac:dyDescent="0.3"/>
    <row r="88" s="22" customFormat="1" x14ac:dyDescent="0.3"/>
    <row r="89" s="22" customFormat="1" x14ac:dyDescent="0.3"/>
    <row r="90" s="22" customFormat="1" x14ac:dyDescent="0.3"/>
    <row r="91" s="22" customFormat="1" x14ac:dyDescent="0.3"/>
    <row r="92" s="22" customFormat="1" x14ac:dyDescent="0.3"/>
    <row r="93" s="22" customFormat="1" x14ac:dyDescent="0.3"/>
    <row r="94" s="22" customFormat="1" x14ac:dyDescent="0.3"/>
    <row r="95" s="22" customFormat="1" x14ac:dyDescent="0.3"/>
    <row r="96" s="22" customFormat="1" x14ac:dyDescent="0.3"/>
    <row r="97" s="22" customFormat="1" x14ac:dyDescent="0.3"/>
    <row r="98" s="22" customFormat="1" x14ac:dyDescent="0.3"/>
    <row r="99" s="22" customFormat="1" x14ac:dyDescent="0.3"/>
    <row r="100" s="22" customFormat="1" x14ac:dyDescent="0.3"/>
    <row r="101" s="22" customFormat="1" x14ac:dyDescent="0.3"/>
    <row r="102" s="22" customFormat="1" x14ac:dyDescent="0.3"/>
    <row r="103" s="22" customFormat="1" x14ac:dyDescent="0.3"/>
    <row r="104" s="22" customFormat="1" x14ac:dyDescent="0.3"/>
    <row r="105" s="22" customFormat="1" x14ac:dyDescent="0.3"/>
    <row r="106" s="22" customFormat="1" x14ac:dyDescent="0.3"/>
    <row r="107" s="22" customFormat="1" x14ac:dyDescent="0.3"/>
    <row r="108" s="22" customFormat="1" x14ac:dyDescent="0.3"/>
    <row r="109" s="22" customFormat="1" x14ac:dyDescent="0.3"/>
    <row r="110" s="22" customFormat="1" x14ac:dyDescent="0.3"/>
    <row r="111" s="22" customFormat="1" x14ac:dyDescent="0.3"/>
    <row r="112" s="22" customFormat="1" x14ac:dyDescent="0.3"/>
    <row r="113" s="22" customFormat="1" x14ac:dyDescent="0.3"/>
    <row r="114" s="22" customFormat="1" x14ac:dyDescent="0.3"/>
    <row r="115" s="22" customFormat="1" x14ac:dyDescent="0.3"/>
    <row r="116" s="22" customFormat="1" x14ac:dyDescent="0.3"/>
    <row r="117" s="22" customFormat="1" x14ac:dyDescent="0.3"/>
    <row r="118" s="22" customFormat="1" x14ac:dyDescent="0.3"/>
    <row r="119" s="22" customFormat="1" x14ac:dyDescent="0.3"/>
    <row r="120" s="22" customFormat="1" x14ac:dyDescent="0.3"/>
    <row r="121" s="22" customFormat="1" x14ac:dyDescent="0.3"/>
    <row r="122" s="22" customFormat="1" x14ac:dyDescent="0.3"/>
    <row r="123" s="22" customFormat="1" x14ac:dyDescent="0.3"/>
    <row r="124" s="22" customFormat="1" x14ac:dyDescent="0.3"/>
    <row r="125" s="22" customFormat="1" x14ac:dyDescent="0.3"/>
    <row r="126" s="22" customFormat="1" x14ac:dyDescent="0.3"/>
    <row r="127" s="22" customFormat="1" x14ac:dyDescent="0.3"/>
    <row r="128" s="22" customFormat="1" x14ac:dyDescent="0.3"/>
    <row r="129" s="22" customFormat="1" x14ac:dyDescent="0.3"/>
    <row r="130" s="22" customFormat="1" x14ac:dyDescent="0.3"/>
    <row r="131" s="22" customFormat="1" x14ac:dyDescent="0.3"/>
    <row r="132" s="22" customFormat="1" x14ac:dyDescent="0.3"/>
    <row r="133" s="22" customFormat="1" x14ac:dyDescent="0.3"/>
    <row r="134" s="22" customFormat="1" x14ac:dyDescent="0.3"/>
    <row r="135" s="22" customFormat="1" x14ac:dyDescent="0.3"/>
    <row r="136" s="22" customFormat="1" x14ac:dyDescent="0.3"/>
    <row r="137" s="22" customFormat="1" x14ac:dyDescent="0.3"/>
    <row r="138" s="22" customFormat="1" x14ac:dyDescent="0.3"/>
    <row r="139" s="22" customFormat="1" x14ac:dyDescent="0.3"/>
    <row r="140" s="22" customFormat="1" x14ac:dyDescent="0.3"/>
    <row r="141" s="22" customFormat="1" x14ac:dyDescent="0.3"/>
    <row r="142" s="22" customFormat="1" x14ac:dyDescent="0.3"/>
    <row r="143" s="22" customFormat="1" x14ac:dyDescent="0.3"/>
    <row r="144" s="22" customFormat="1" x14ac:dyDescent="0.3"/>
    <row r="145" s="22" customFormat="1" x14ac:dyDescent="0.3"/>
    <row r="146" s="22" customFormat="1" x14ac:dyDescent="0.3"/>
    <row r="147" s="22" customFormat="1" x14ac:dyDescent="0.3"/>
    <row r="148" s="22" customFormat="1" x14ac:dyDescent="0.3"/>
    <row r="149" s="22" customFormat="1" x14ac:dyDescent="0.3"/>
    <row r="150" s="22" customFormat="1" x14ac:dyDescent="0.3"/>
    <row r="151" s="22" customFormat="1" x14ac:dyDescent="0.3"/>
    <row r="152" s="22" customFormat="1" x14ac:dyDescent="0.3"/>
    <row r="153" s="22" customFormat="1" x14ac:dyDescent="0.3"/>
    <row r="154" s="22" customFormat="1" x14ac:dyDescent="0.3"/>
    <row r="155" s="22" customFormat="1" x14ac:dyDescent="0.3"/>
    <row r="156" s="22" customFormat="1" x14ac:dyDescent="0.3"/>
    <row r="157" s="22" customFormat="1" x14ac:dyDescent="0.3"/>
    <row r="158" s="22" customFormat="1" x14ac:dyDescent="0.3"/>
    <row r="159" s="22" customFormat="1" x14ac:dyDescent="0.3"/>
    <row r="160" s="22" customFormat="1" x14ac:dyDescent="0.3"/>
    <row r="161" s="22" customFormat="1" x14ac:dyDescent="0.3"/>
    <row r="162" s="22" customFormat="1" x14ac:dyDescent="0.3"/>
    <row r="163" s="22" customFormat="1" x14ac:dyDescent="0.3"/>
    <row r="164" s="22" customFormat="1" x14ac:dyDescent="0.3"/>
    <row r="165" s="22" customFormat="1" x14ac:dyDescent="0.3"/>
    <row r="166" s="22" customFormat="1" x14ac:dyDescent="0.3"/>
    <row r="167" s="22" customFormat="1" x14ac:dyDescent="0.3"/>
    <row r="168" s="22" customFormat="1" x14ac:dyDescent="0.3"/>
    <row r="169" s="22" customFormat="1" x14ac:dyDescent="0.3"/>
    <row r="170" s="22" customFormat="1" x14ac:dyDescent="0.3"/>
    <row r="171" s="22" customFormat="1" x14ac:dyDescent="0.3"/>
    <row r="172" s="22" customFormat="1" x14ac:dyDescent="0.3"/>
    <row r="173" s="22" customFormat="1" x14ac:dyDescent="0.3"/>
    <row r="174" s="22" customFormat="1" x14ac:dyDescent="0.3"/>
    <row r="175" s="22" customFormat="1" x14ac:dyDescent="0.3"/>
    <row r="176" s="22" customFormat="1" x14ac:dyDescent="0.3"/>
    <row r="177" s="22" customFormat="1" x14ac:dyDescent="0.3"/>
    <row r="178" s="22" customFormat="1" x14ac:dyDescent="0.3"/>
    <row r="179" s="22" customFormat="1" x14ac:dyDescent="0.3"/>
    <row r="180" s="22" customFormat="1" x14ac:dyDescent="0.3"/>
    <row r="181" s="22" customFormat="1" x14ac:dyDescent="0.3"/>
    <row r="182" s="22" customFormat="1" x14ac:dyDescent="0.3"/>
    <row r="183" s="22" customFormat="1" x14ac:dyDescent="0.3"/>
    <row r="184" s="22" customFormat="1" x14ac:dyDescent="0.3"/>
    <row r="185" s="22" customFormat="1" x14ac:dyDescent="0.3"/>
    <row r="186" s="22" customFormat="1" x14ac:dyDescent="0.3"/>
    <row r="187" s="22" customFormat="1" x14ac:dyDescent="0.3"/>
    <row r="188" s="22" customFormat="1" x14ac:dyDescent="0.3"/>
    <row r="189" s="22" customFormat="1" x14ac:dyDescent="0.3"/>
    <row r="190" s="22" customFormat="1" x14ac:dyDescent="0.3"/>
    <row r="191" s="22" customFormat="1" x14ac:dyDescent="0.3"/>
    <row r="192" s="22" customFormat="1" x14ac:dyDescent="0.3"/>
  </sheetData>
  <mergeCells count="1">
    <mergeCell ref="B1:X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Processing</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patel</dc:creator>
  <cp:lastModifiedBy>ajay patel</cp:lastModifiedBy>
  <dcterms:created xsi:type="dcterms:W3CDTF">2026-04-12T10:36:00Z</dcterms:created>
  <dcterms:modified xsi:type="dcterms:W3CDTF">2026-04-13T15:29:34Z</dcterms:modified>
</cp:coreProperties>
</file>